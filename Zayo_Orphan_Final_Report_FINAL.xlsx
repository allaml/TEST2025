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a64564\Documents\GitHub\excel-project\zayo-orphan-accs\"/>
    </mc:Choice>
  </mc:AlternateContent>
  <xr:revisionPtr revIDLastSave="0" documentId="13_ncr:1_{E743B665-A37C-4EF8-A3C2-D3CF8044B610}" xr6:coauthVersionLast="47" xr6:coauthVersionMax="47" xr10:uidLastSave="{00000000-0000-0000-0000-000000000000}"/>
  <bookViews>
    <workbookView xWindow="-28920" yWindow="-120" windowWidth="29040" windowHeight="15720" tabRatio="781" firstSheet="2" activeTab="8" xr2:uid="{00000000-000D-0000-FFFF-FFFF00000000}"/>
  </bookViews>
  <sheets>
    <sheet name="Detail_Analysis" sheetId="1" r:id="rId1"/>
    <sheet name="Executive_Detail_Summary" sheetId="2" r:id="rId2"/>
    <sheet name="Service_Type_Summary" sheetId="3" r:id="rId3"/>
    <sheet name="Implementation_Plan_2026" sheetId="4" r:id="rId4"/>
    <sheet name="Priority_Analysis" sheetId="5" r:id="rId5"/>
    <sheet name="Account_Breakdown" sheetId="6" r:id="rId6"/>
    <sheet name="High_Impact_Opportunities" sheetId="7" r:id="rId7"/>
    <sheet name="Quick_Gains" sheetId="8" r:id="rId8"/>
    <sheet name="Implementation_Timelin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3" i="1"/>
  <c r="P4" i="8"/>
  <c r="P5" i="8"/>
  <c r="P6" i="8"/>
  <c r="P7" i="8"/>
  <c r="P8" i="8"/>
  <c r="P9" i="8"/>
  <c r="P10" i="8"/>
  <c r="P11" i="8"/>
  <c r="P12" i="8"/>
  <c r="P13" i="8"/>
  <c r="P3" i="8"/>
  <c r="P4" i="7"/>
  <c r="P5" i="7"/>
  <c r="P3" i="7"/>
  <c r="F5" i="3"/>
  <c r="F4" i="3"/>
</calcChain>
</file>

<file path=xl/sharedStrings.xml><?xml version="1.0" encoding="utf-8"?>
<sst xmlns="http://schemas.openxmlformats.org/spreadsheetml/2006/main" count="2803" uniqueCount="443">
  <si>
    <t>Customer</t>
  </si>
  <si>
    <t>Organization</t>
  </si>
  <si>
    <t>Account</t>
  </si>
  <si>
    <t>AssetName</t>
  </si>
  <si>
    <t>Service</t>
  </si>
  <si>
    <t>ResourceType</t>
  </si>
  <si>
    <t>OptimizationPolicy</t>
  </si>
  <si>
    <t>Recommendations</t>
  </si>
  <si>
    <t>Priority</t>
  </si>
  <si>
    <t>Implementation_Phase</t>
  </si>
  <si>
    <t>Estimated_Effort_Hours</t>
  </si>
  <si>
    <t>Risk_Level</t>
  </si>
  <si>
    <t>Target_Completion_Date</t>
  </si>
  <si>
    <t>Detailed_Action_Items</t>
  </si>
  <si>
    <t>Business_Impact</t>
  </si>
  <si>
    <t>AWS_Service_Category</t>
  </si>
  <si>
    <t>Zayo</t>
  </si>
  <si>
    <t>arn:aws:elasticloadbalancing:us-east-1:512542238830:loadbalancer/gwy/ngfwGateway/bed1fca2b880e2ee</t>
  </si>
  <si>
    <t>NETWORK</t>
  </si>
  <si>
    <t>ELASTIC_LOAD_BALANCING_ELBV2</t>
  </si>
  <si>
    <t>Assess and remove the unused load balancers to save cost</t>
  </si>
  <si>
    <t>Assess and remove the unused load balancers to save cost.</t>
  </si>
  <si>
    <t>Critical</t>
  </si>
  <si>
    <t>Phase 1 - Quick Wins (Week 1-2)</t>
  </si>
  <si>
    <t>Medium</t>
  </si>
  <si>
    <t>2026-01-12</t>
  </si>
  <si>
    <t>1. Verify load balancer arn:aws:elasticloadbalancing:us-east-1:512542238830:loadbalancer/gwy/ngfwGateway/bed1fca2b880e2ee receives no traffic
2. Check DNS records and routing dependencies
3. Notify stakeholders of planned removal
4. Remove load balancer and associated resources
5. Update security groups and network ACLs if needed
6. CRITICAL: High-value resource - require management approval before deletion</t>
  </si>
  <si>
    <t>High - Critical load balancer removal requires careful validation</t>
  </si>
  <si>
    <t>Elastic Load Balancing</t>
  </si>
  <si>
    <t>vol-054975f30e3c8d67a</t>
  </si>
  <si>
    <t>COMPUTE</t>
  </si>
  <si>
    <t>VOLUME</t>
  </si>
  <si>
    <t>If the EBS Volume is not in in-use state, then it is considered as Unused EBS Volume</t>
  </si>
  <si>
    <t>Delete the unused EBS Volumes.</t>
  </si>
  <si>
    <t>Low</t>
  </si>
  <si>
    <t>1. Verify EBS volume vol-054975f30e3c8d67a is truly unused
2. Check if volume has any snapshots or dependencies
3. Create final snapshot if data retention is required
4. Delete the unused volume
5. Verify deletion and update inventory
6. CRITICAL: High-value resource - require management approval before deletion</t>
  </si>
  <si>
    <t>Medium - Large volume may contain important data</t>
  </si>
  <si>
    <t>Amazon EC2 &amp; EBS</t>
  </si>
  <si>
    <t>arn:aws:elasticloadbalancing:us-east-1:512542238830:loadbalancer/gwy/ngfwGateway-0/3c979c0fec9c1ac1</t>
  </si>
  <si>
    <t>High</t>
  </si>
  <si>
    <t>1. Verify load balancer arn:aws:elasticloadbalancing:us-east-1:512542238830:loadbalancer/gwy/ngfwGateway-0/3c979c0fec9c1ac1 receives no traffic
2. Check DNS records and routing dependencies
3. Notify stakeholders of planned removal
4. Remove load balancer and associated resources
5. Update security groups and network ACLs if needed
6. HIGH PRIORITY: Validate with application teams before removal</t>
  </si>
  <si>
    <t>Medium - Load balancer may have application dependencies</t>
  </si>
  <si>
    <t>Datadir for design-dev_full_fleet-0 (DSS managed by FM)</t>
  </si>
  <si>
    <t>1. Verify EBS volume Datadir for design-dev_full_fleet-0 (DSS managed by FM) is truly unused
2. Check if volume has any snapshots or dependencies
3. Create final snapshot if data retention is required
4. Delete the unused volume
5. Verify deletion and update inventory</t>
  </si>
  <si>
    <t>Low - Small unused volume</t>
  </si>
  <si>
    <t>arn:aws:elasticloadbalancing:ca-central-1:277391387317:loadbalancer/app/env-105322-appelb/e151f4d6ecaca1c2</t>
  </si>
  <si>
    <t>1. Verify load balancer arn:aws:elasticloadbalancing:ca-central-1:277391387317:loadbalancer/app/env-105322-appelb/e151f4d6ecaca1c2 receives no traffic
2. Check DNS records and routing dependencies
3. Notify stakeholders of planned removal
4. Remove load balancer and associated resources
5. Update security groups and network ACLs if needed</t>
  </si>
  <si>
    <t>Low - Unused load balancer with minimal impact</t>
  </si>
  <si>
    <t>arn:aws:elasticloadbalancing:ca-central-1:277391387317:loadbalancer/app/SOX-Application-Audit/1603446168801ff4</t>
  </si>
  <si>
    <t>1. Verify load balancer arn:aws:elasticloadbalancing:ca-central-1:277391387317:loadbalancer/app/SOX-Application-Audit/1603446168801ff4 receives no traffic
2. Check DNS records and routing dependencies
3. Notify stakeholders of planned removal
4. Remove load balancer and associated resources
5. Update security groups and network ACLs if needed</t>
  </si>
  <si>
    <t>arn:aws:elasticloadbalancing:us-east-1:419135461434:loadbalancer/app/networkmanager-main-public-alb/56617a9c27207e9a</t>
  </si>
  <si>
    <t>1. Verify load balancer arn:aws:elasticloadbalancing:us-east-1:419135461434:loadbalancer/app/networkmanager-main-public-alb/56617a9c27207e9a receives no traffic
2. Check DNS records and routing dependencies
3. Notify stakeholders of planned removal
4. Remove load balancer and associated resources
5. Update security groups and network ACLs if needed</t>
  </si>
  <si>
    <t>arn:aws:elasticloadbalancing:us-east-1:419135461434:loadbalancer/app/gis-public-alb/bd2a9b4190c12379</t>
  </si>
  <si>
    <t>1. Verify load balancer arn:aws:elasticloadbalancing:us-east-1:419135461434:loadbalancer/app/gis-public-alb/bd2a9b4190c12379 receives no traffic
2. Check DNS records and routing dependencies
3. Notify stakeholders of planned removal
4. Remove load balancer and associated resources
5. Update security groups and network ACLs if needed</t>
  </si>
  <si>
    <t>arn:aws:elasticloadbalancing:us-east-1:419135461434:loadbalancer/app/privateAppLb/0e2ca38aaade7e70</t>
  </si>
  <si>
    <t>1. Verify load balancer arn:aws:elasticloadbalancing:us-east-1:419135461434:loadbalancer/app/privateAppLb/0e2ca38aaade7e70 receives no traffic
2. Check DNS records and routing dependencies
3. Notify stakeholders of planned removal
4. Remove load balancer and associated resources
5. Update security groups and network ACLs if needed</t>
  </si>
  <si>
    <t>arn:aws:elasticloadbalancing:us-east-1:419135461434:loadbalancer/app/publicAppLb/789550dfa0d839db</t>
  </si>
  <si>
    <t>1. Verify load balancer arn:aws:elasticloadbalancing:us-east-1:419135461434:loadbalancer/app/publicAppLb/789550dfa0d839db receives no traffic
2. Check DNS records and routing dependencies
3. Notify stakeholders of planned removal
4. Remove load balancer and associated resources
5. Update security groups and network ACLs if needed</t>
  </si>
  <si>
    <t>arn:aws:elasticloadbalancing:us-east-1:419135461434:loadbalancer/app/ProdVp-Publi-XzNIySYoJLbT/9d658291642b93a0</t>
  </si>
  <si>
    <t>1. Verify load balancer arn:aws:elasticloadbalancing:us-east-1:419135461434:loadbalancer/app/ProdVp-Publi-XzNIySYoJLbT/9d658291642b93a0 receives no traffic
2. Check DNS records and routing dependencies
3. Notify stakeholders of planned removal
4. Remove load balancer and associated resources
5. Update security groups and network ACLs if needed</t>
  </si>
  <si>
    <t>arn:aws:elasticloadbalancing:us-east-1:295451572584:loadbalancer/app/publicAppLb/bf1a781038db9830</t>
  </si>
  <si>
    <t>1. Verify load balancer arn:aws:elasticloadbalancing:us-east-1:295451572584:loadbalancer/app/publicAppLb/bf1a781038db9830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</si>
  <si>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arn:aws:elasticloadbalancing:us-east-1:277391387317:loadbalancer/app/awseb--AWSEB-7zohsB9wPhLP/e1b9b4b65016e91f</t>
  </si>
  <si>
    <t>1. Verify load balancer arn:aws:elasticloadbalancing:us-east-1:277391387317:loadbalancer/app/awseb--AWSEB-7zohsB9wPhLP/e1b9b4b65016e91f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</si>
  <si>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arn:aws:elasticloadbalancing:us-east-1:277391387317:loadbalancer/app/awseb-AWSEB-103GVPFZMJGPA/5c3c1a3c464099b1</t>
  </si>
  <si>
    <t>1. Verify load balancer arn:aws:elasticloadbalancing:us-east-1:277391387317:loadbalancer/app/awseb-AWSEB-103GVPFZMJGPA/5c3c1a3c464099b1 receives no traffic
2. Check DNS records and routing dependencies
3. Notify stakeholders of planned removal
4. Remove load balancer and associated resources
5. Update security groups and network ACLs if needed</t>
  </si>
  <si>
    <t>arn:aws:elasticloadbalancing:us-east-1:295451572584:loadbalancer/app/privateAppLb/e86ee087260f4b41</t>
  </si>
  <si>
    <t>1. Verify load balancer arn:aws:elasticloadbalancing:us-east-1:295451572584:loadbalancer/app/privateAppLb/e86ee087260f4b41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</si>
  <si>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arn:aws:elasticloadbalancing:us-east-1:277391387317:loadbalancer/app/awseb--AWSEB-JuC32vrARZcC/c5ca86a628ae5094</t>
  </si>
  <si>
    <t>1. Verify load balancer arn:aws:elasticloadbalancing:us-east-1:277391387317:loadbalancer/app/awseb--AWSEB-JuC32vrARZcC/c5ca86a628ae5094 receives no traffic
2. Check DNS records and routing dependencies
3. Notify stakeholders of planned removal
4. Remove load balancer and associated resources
5. Update security groups and network ACLs if needed</t>
  </si>
  <si>
    <t>arn:aws:elasticloadbalancing:us-west-2:277391387317:loadbalancer/app/mq1-audits/0cb06121120b7264</t>
  </si>
  <si>
    <t>1. Verify load balancer arn:aws:elasticloadbalancing:us-west-2:277391387317:loadbalancer/app/mq1-audits/0cb06121120b7264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</si>
  <si>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arn:aws:elasticloadbalancing:us-east-1:277391387317:loadbalancer/app/awseb--AWSEB-2dO0P9Oyk8Ql/56244794e9d8d5d6</t>
  </si>
  <si>
    <t>1. Verify load balancer arn:aws:elasticloadbalancing:us-east-1:277391387317:loadbalancer/app/awseb--AWSEB-2dO0P9Oyk8Ql/56244794e9d8d5d6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</si>
  <si>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arn:aws:elasticloadbalancing:us-east-1:277391387317:loadbalancer/app/awseb--AWSEB-hKeceDFWA95S/cc61bdb7b01875be</t>
  </si>
  <si>
    <t>1. Verify load balancer arn:aws:elasticloadbalancing:us-east-1:277391387317:loadbalancer/app/awseb--AWSEB-hKeceDFWA95S/cc61bdb7b01875be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</si>
  <si>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arn:aws:elasticloadbalancing:us-east-1:277391387317:loadbalancer/app/awseb--AWSEB-i0Nb8MkKmAO8/c5112fb26693716d</t>
  </si>
  <si>
    <t>1. Verify load balancer arn:aws:elasticloadbalancing:us-east-1:277391387317:loadbalancer/app/awseb--AWSEB-i0Nb8MkKmAO8/c5112fb26693716d receives no traffic
2. Check DNS records and routing dependencies
3. Notify stakeholders of planned removal
4. Remove load balancer and associated resources
5. Update security groups and network ACLs if needed</t>
  </si>
  <si>
    <t>arn:aws:elasticloadbalancing:us-east-1:419135461434:loadbalancer/app/boss-ii-lb-pub/826d49e5300b70ee</t>
  </si>
  <si>
    <t>1. Verify load balancer arn:aws:elasticloadbalancing:us-east-1:419135461434:loadbalancer/app/boss-ii-lb-pub/826d49e5300b70ee receives no traffic
2. Check DNS records and routing dependencies
3. Notify stakeholders of planned removal
4. Remove load balancer and associated resources
5. Update security groups and network ACLs if needed</t>
  </si>
  <si>
    <t>arn:aws:elasticloadbalancing:us-east-1:779846800024:loadbalancer/app/agent-network-rfo-alb/0ec911c6cc2a8d5b</t>
  </si>
  <si>
    <t>1. Verify load balancer arn:aws:elasticloadbalancing:us-east-1:779846800024:loadbalancer/app/agent-network-rfo-alb/0ec911c6cc2a8d5b receives no traffic
2. Check DNS records and routing dependencies
3. Notify stakeholders of planned removal
4. Remove load balancer and associated resources
5. Update security groups and network ACLs if needed</t>
  </si>
  <si>
    <t>arn:aws:elasticloadbalancing:us-east-1:779846800024:loadbalancer/app/agent-network-rfo-dev-alb/2a10b7b43a594be9</t>
  </si>
  <si>
    <t>1. Verify load balancer arn:aws:elasticloadbalancing:us-east-1:779846800024:loadbalancer/app/agent-network-rfo-dev-alb/2a10b7b43a594be9 receives no traffic
2. Check DNS records and routing dependencies
3. Notify stakeholders of planned removal
4. Remove load balancer and associated resources
5. Update security groups and network ACLs if needed</t>
  </si>
  <si>
    <t>arn:aws:elasticloadbalancing:us-east-1:277391387317:loadbalancer/app/cvoip-core-lb-prod/3adffb31fe6a274c</t>
  </si>
  <si>
    <t>1. Verify load balancer arn:aws:elasticloadbalancing:us-east-1:277391387317:loadbalancer/app/cvoip-core-lb-prod/3adffb31fe6a274c receives no traffic
2. Check DNS records and routing dependencies
3. Notify stakeholders of planned removal
4. Remove load balancer and associated resources
5. Update security groups and network ACLs if needed</t>
  </si>
  <si>
    <t>arn:aws:elasticloadbalancing:us-east-1:277391387317:loadbalancer/app/awseb--AWSEB-s9c8GSdX46pW/25f6d9632b1c8940</t>
  </si>
  <si>
    <t>1. Verify load balancer arn:aws:elasticloadbalancing:us-east-1:277391387317:loadbalancer/app/awseb--AWSEB-s9c8GSdX46pW/25f6d9632b1c8940 receives no traffic
2. Check DNS records and routing dependencies
3. Notify stakeholders of planned removal
4. Remove load balancer and associated resources
5. Update security groups and network ACLs if needed</t>
  </si>
  <si>
    <t>arn:aws:elasticloadbalancing:us-east-1:779846800024:loadbalancer/app/agent-network-rfo-preprod-alb/563ff5efb54af06f</t>
  </si>
  <si>
    <t>1. Verify load balancer arn:aws:elasticloadbalancing:us-east-1:779846800024:loadbalancer/app/agent-network-rfo-preprod-alb/563ff5efb54af06f receives no traffic
2. Check DNS records and routing dependencies
3. Notify stakeholders of planned removal
4. Remove load balancer and associated resources
5. Update security groups and network ACLs if needed</t>
  </si>
  <si>
    <t>arn:aws:elasticloadbalancing:us-east-1:277391387317:loadbalancer/app/cvoip-core-lb-dev/a64dad884badad0b</t>
  </si>
  <si>
    <t>1. Verify load balancer arn:aws:elasticloadbalancing:us-east-1:277391387317:loadbalancer/app/cvoip-core-lb-dev/a64dad884badad0b receives no traffic
2. Check DNS records and routing dependencies
3. Notify stakeholders of planned removal
4. Remove load balancer and associated resources
5. Update security groups and network ACLs if needed</t>
  </si>
  <si>
    <t>arn:aws:elasticloadbalancing:us-west-2:277391387317:loadbalancer/app/mq1-audits-v2/0055e812a5e5353c</t>
  </si>
  <si>
    <t>1. Verify load balancer arn:aws:elasticloadbalancing:us-west-2:277391387317:loadbalancer/app/mq1-audits-v2/0055e812a5e5353c receives no traffic
2. Check DNS records and routing dependencies
3. Notify stakeholders of planned removal
4. Remove load balancer and associated resources
5. Update security groups and network ACLs if needed</t>
  </si>
  <si>
    <t>arn:aws:elasticloadbalancing:us-east-1:608649261817:loadbalancer/app/netmanager-test-public-alb/949c37429b21bf7d</t>
  </si>
  <si>
    <t>Unused Elastic Load Balancers</t>
  </si>
  <si>
    <t>1. Verify load balancer arn:aws:elasticloadbalancing:us-east-1:608649261817:loadbalancer/app/netmanager-test-public-alb/949c37429b21bf7d receives no traffic
2. Check DNS records and routing dependencies
3. Notify stakeholders of planned removal
4. Remove load balancer and associated resources
5. Update security groups and network ACLs if needed</t>
  </si>
  <si>
    <t>arn:aws:elasticloadbalancing:us-east-2:628002692261:loadbalancer/app/search-load-balancer/e33544aedad754e6</t>
  </si>
  <si>
    <t>1. Verify load balancer arn:aws:elasticloadbalancing:us-east-2:628002692261:loadbalancer/app/search-load-balancer/e33544aedad754e6 receives no traffic
2. Check DNS records and routing dependencies
3. Notify stakeholders of planned removal
4. Remove load balancer and associated resources
5. Update security groups and network ACLs if needed</t>
  </si>
  <si>
    <t>arn:aws:elasticloadbalancing:us-east-2:628002692261:loadbalancer/app/elasticsearch-load-balancer/170a455d4d6e4ec4</t>
  </si>
  <si>
    <t>1. Verify load balancer arn:aws:elasticloadbalancing:us-east-2:628002692261:loadbalancer/app/elasticsearch-load-balancer/170a455d4d6e4ec4 receives no traffic
2. Check DNS records and routing dependencies
3. Notify stakeholders of planned removal
4. Remove load balancer and associated resources
5. Update security groups and network ACLs if needed</t>
  </si>
  <si>
    <t>arn:aws:elasticloadbalancing:us-east-1:060795916949:loadbalancer/net/qos-ovrc-api/a4329adbd2721d84</t>
  </si>
  <si>
    <t>1. Verify load balancer arn:aws:elasticloadbalancing:us-east-1:060795916949:loadbalancer/net/qos-ovrc-api/a4329adbd2721d84 receives no traffic
2. Check DNS records and routing dependencies
3. Notify stakeholders of planned removal
4. Remove load balancer and associated resources
5. Update security groups and network ACLs if needed</t>
  </si>
  <si>
    <t>arn:aws:elasticloadbalancing:us-east-1:060795916949:loadbalancer/net/qos-ringcentral-api/b394c0e72975b391</t>
  </si>
  <si>
    <t>1. Verify load balancer arn:aws:elasticloadbalancing:us-east-1:060795916949:loadbalancer/net/qos-ringcentral-api/b394c0e72975b391 receives no traffic
2. Check DNS records and routing dependencies
3. Notify stakeholders of planned removal
4. Remove load balancer and associated resources
5. Update security groups and network ACLs if needed</t>
  </si>
  <si>
    <t>arn:aws:elasticloadbalancing:us-east-1:060795916949:loadbalancer/net/qos-vco-api/6196b45f7aaadb24</t>
  </si>
  <si>
    <t>1. Verify load balancer arn:aws:elasticloadbalancing:us-east-1:060795916949:loadbalancer/net/qos-vco-api/6196b45f7aaadb24 receives no traffic
2. Check DNS records and routing dependencies
3. Notify stakeholders of planned removal
4. Remove load balancer and associated resources
5. Update security groups and network ACLs if needed</t>
  </si>
  <si>
    <t>arn:aws:elasticloadbalancing:us-east-1:172763297484:loadbalancer/app/tz3ac-LB8A1-11SD9XWXN0BRV/a2a53b6ae75a083f</t>
  </si>
  <si>
    <t>1. Verify load balancer arn:aws:elasticloadbalancing:us-east-1:172763297484:loadbalancer/app/tz3ac-LB8A1-11SD9XWXN0BRV/a2a53b6ae75a083f receives no traffic
2. Check DNS records and routing dependencies
3. Notify stakeholders of planned removal
4. Remove load balancer and associated resources
5. Update security groups and network ACLs if needed</t>
  </si>
  <si>
    <t>arn:aws:elasticloadbalancing:us-east-1:172763297484:loadbalancer/app/tz3pl-LB8A1-155T0UVVH4R5L/df3eadbb6f3dd3d6</t>
  </si>
  <si>
    <t>1. Verify load balancer arn:aws:elasticloadbalancing:us-east-1:172763297484:loadbalancer/app/tz3pl-LB8A1-155T0UVVH4R5L/df3eadbb6f3dd3d6 receives no traffic
2. Check DNS records and routing dependencies
3. Notify stakeholders of planned removal
4. Remove load balancer and associated resources
5. Update security groups and network ACLs if needed</t>
  </si>
  <si>
    <t>arn:aws:elasticloadbalancing:us-east-1:172763297484:loadbalancer/app/tz3pl-LB8A1-XOJXZV25HLRY/c574e6e440333fcc</t>
  </si>
  <si>
    <t>1. Verify load balancer arn:aws:elasticloadbalancing:us-east-1:172763297484:loadbalancer/app/tz3pl-LB8A1-XOJXZV25HLRY/c574e6e440333fcc receives no traffic
2. Check DNS records and routing dependencies
3. Notify stakeholders of planned removal
4. Remove load balancer and associated resources
5. Update security groups and network ACLs if needed</t>
  </si>
  <si>
    <t>arn:aws:elasticloadbalancing:us-east-1:172763297484:loadbalancer/app/tz3re-LB8A1-KHFJC5JGQGVP/efa697b9c6db053b</t>
  </si>
  <si>
    <t>1. Verify load balancer arn:aws:elasticloadbalancing:us-east-1:172763297484:loadbalancer/app/tz3re-LB8A1-KHFJC5JGQGVP/efa697b9c6db053b receives no traffic
2. Check DNS records and routing dependencies
3. Notify stakeholders of planned removal
4. Remove load balancer and associated resources
5. Update security groups and network ACLs if needed</t>
  </si>
  <si>
    <t>arn:aws:elasticloadbalancing:us-east-1:172763297484:loadbalancer/app/tz3w0-LB8A1-UCJHHORMIK02/979415cbe8fa0e71</t>
  </si>
  <si>
    <t>1. Verify load balancer arn:aws:elasticloadbalancing:us-east-1:172763297484:loadbalancer/app/tz3w0-LB8A1-UCJHHORMIK02/979415cbe8fa0e71 receives no traffic
2. Check DNS records and routing dependencies
3. Notify stakeholders of planned removal
4. Remove load balancer and associated resources
5. Update security groups and network ACLs if needed</t>
  </si>
  <si>
    <t>arn:aws:elasticloadbalancing:us-east-1:172763297484:loadbalancer/app/tz3pl-LB8A1-S6SS7RF72SZE/baf15beac4962934</t>
  </si>
  <si>
    <t>1. Verify load balancer arn:aws:elasticloadbalancing:us-east-1:172763297484:loadbalancer/app/tz3pl-LB8A1-S6SS7RF72SZE/baf15beac4962934 receives no traffic
2. Check DNS records and routing dependencies
3. Notify stakeholders of planned removal
4. Remove load balancer and associated resources
5. Update security groups and network ACLs if needed</t>
  </si>
  <si>
    <t>arn:aws:elasticloadbalancing:us-east-1:172763297484:loadbalancer/app/tz3te-LB8A1-1UJW4NKCAFVSK/5583d2bb5bfe15e0</t>
  </si>
  <si>
    <t>1. Verify load balancer arn:aws:elasticloadbalancing:us-east-1:172763297484:loadbalancer/app/tz3te-LB8A1-1UJW4NKCAFVSK/5583d2bb5bfe15e0 receives no traffic
2. Check DNS records and routing dependencies
3. Notify stakeholders of planned removal
4. Remove load balancer and associated resources
5. Update security groups and network ACLs if needed</t>
  </si>
  <si>
    <t>arn:aws:elasticloadbalancing:us-east-1:172763297484:loadbalancer/app/tz3gi-LB8A1-1EWQSC2PSWSS8/e45d926bb49191b1</t>
  </si>
  <si>
    <t>1. Verify load balancer arn:aws:elasticloadbalancing:us-east-1:172763297484:loadbalancer/app/tz3gi-LB8A1-1EWQSC2PSWSS8/e45d926bb49191b1 receives no traffic
2. Check DNS records and routing dependencies
3. Notify stakeholders of planned removal
4. Remove load balancer and associated resources
5. Update security groups and network ACLs if needed</t>
  </si>
  <si>
    <t>arn:aws:elasticloadbalancing:us-east-1:172763297484:loadbalancer/app/tz3te-LB8A1-ASCK5U5O4JDO/b204c26017701e30</t>
  </si>
  <si>
    <t>1. Verify load balancer arn:aws:elasticloadbalancing:us-east-1:172763297484:loadbalancer/app/tz3te-LB8A1-ASCK5U5O4JDO/b204c26017701e30 receives no traffic
2. Check DNS records and routing dependencies
3. Notify stakeholders of planned removal
4. Remove load balancer and associated resources
5. Update security groups and network ACLs if needed</t>
  </si>
  <si>
    <t>arn:aws:elasticloadbalancing:us-east-1:172763297484:loadbalancer/app/tz3w0-LB8A1-2PQWAZFLOMZF/2c6b068557be6ed1</t>
  </si>
  <si>
    <t>1. Verify load balancer arn:aws:elasticloadbalancing:us-east-1:172763297484:loadbalancer/app/tz3w0-LB8A1-2PQWAZFLOMZF/2c6b068557be6ed1 receives no traffic
2. Check DNS records and routing dependencies
3. Notify stakeholders of planned removal
4. Remove load balancer and associated resources
5. Update security groups and network ACLs if needed</t>
  </si>
  <si>
    <t>arn:aws:elasticloadbalancing:us-east-1:172763297484:loadbalancer/app/master/cf0bfeaeac591a80</t>
  </si>
  <si>
    <t>1. Verify load balancer arn:aws:elasticloadbalancing:us-east-1:172763297484:loadbalancer/app/master/cf0bfeaeac591a80 receives no traffic
2. Check DNS records and routing dependencies
3. Notify stakeholders of planned removal
4. Remove load balancer and associated resources
5. Update security groups and network ACLs if needed</t>
  </si>
  <si>
    <t>arn:aws:elasticloadbalancing:us-east-1:172763297484:loadbalancer/app/tz3aw-LB8A1-URCCT07CDAWU/8320e5f5e05d6696</t>
  </si>
  <si>
    <t>1. Verify load balancer arn:aws:elasticloadbalancing:us-east-1:172763297484:loadbalancer/app/tz3aw-LB8A1-URCCT07CDAWU/8320e5f5e05d6696 receives no traffic
2. Check DNS records and routing dependencies
3. Notify stakeholders of planned removal
4. Remove load balancer and associated resources
5. Update security groups and network ACLs if needed</t>
  </si>
  <si>
    <t>arn:aws:elasticloadbalancing:us-east-1:172763297484:loadbalancer/app/tz3up-LB8A1-1PMYV06GTI0MY/bb85bd8f68ba69c5</t>
  </si>
  <si>
    <t>1. Verify load balancer arn:aws:elasticloadbalancing:us-east-1:172763297484:loadbalancer/app/tz3up-LB8A1-1PMYV06GTI0MY/bb85bd8f68ba69c5 receives no traffic
2. Check DNS records and routing dependencies
3. Notify stakeholders of planned removal
4. Remove load balancer and associated resources
5. Update security groups and network ACLs if needed</t>
  </si>
  <si>
    <t>arn:aws:elasticloadbalancing:us-east-1:172763297484:loadbalancer/app/tz3re-LB8A1-LQLJLBFJW0JV/4d3071472f305695</t>
  </si>
  <si>
    <t>1. Verify load balancer arn:aws:elasticloadbalancing:us-east-1:172763297484:loadbalancer/app/tz3re-LB8A1-LQLJLBFJW0JV/4d3071472f305695 receives no traffic
2. Check DNS records and routing dependencies
3. Notify stakeholders of planned removal
4. Remove load balancer and associated resources
5. Update security groups and network ACLs if needed</t>
  </si>
  <si>
    <t>arn:aws:elasticloadbalancing:us-east-1:172763297484:loadbalancer/app/tz3do-LB8A1-YAP1SKB05L3I/b5f1f1214a40ea0d</t>
  </si>
  <si>
    <t>1. Verify load balancer arn:aws:elasticloadbalancing:us-east-1:172763297484:loadbalancer/app/tz3do-LB8A1-YAP1SKB05L3I/b5f1f1214a40ea0d receives no traffic
2. Check DNS records and routing dependencies
3. Notify stakeholders of planned removal
4. Remove load balancer and associated resources
5. Update security groups and network ACLs if needed</t>
  </si>
  <si>
    <t>arn:aws:elasticloadbalancing:us-east-1:172763297484:loadbalancer/app/tz3pl-LB8A1-1IFOSQNAUSP63/c5185d7a6e248489</t>
  </si>
  <si>
    <t>1. Verify load balancer arn:aws:elasticloadbalancing:us-east-1:172763297484:loadbalancer/app/tz3pl-LB8A1-1IFOSQNAUSP63/c5185d7a6e248489 receives no traffic
2. Check DNS records and routing dependencies
3. Notify stakeholders of planned removal
4. Remove load balancer and associated resources
5. Update security groups and network ACLs if needed</t>
  </si>
  <si>
    <t>arn:aws:elasticloadbalancing:us-east-1:172763297484:loadbalancer/app/tz3w0-LB8A1-8DO2KRG08WK3/9986bc3e63d557c7</t>
  </si>
  <si>
    <t>1. Verify load balancer arn:aws:elasticloadbalancing:us-east-1:172763297484:loadbalancer/app/tz3w0-LB8A1-8DO2KRG08WK3/9986bc3e63d557c7 receives no traffic
2. Check DNS records and routing dependencies
3. Notify stakeholders of planned removal
4. Remove load balancer and associated resources
5. Update security groups and network ACLs if needed</t>
  </si>
  <si>
    <t>arn:aws:elasticloadbalancing:us-east-1:172763297484:loadbalancer/app/tranz-LB8A1-Y4JMI3IY84Y9/f5b9019725648ee8</t>
  </si>
  <si>
    <t>1. Verify load balancer arn:aws:elasticloadbalancing:us-east-1:172763297484:loadbalancer/app/tranz-LB8A1-Y4JMI3IY84Y9/f5b9019725648ee8 receives no traffic
2. Check DNS records and routing dependencies
3. Notify stakeholders of planned removal
4. Remove load balancer and associated resources
5. Update security groups and network ACLs if needed</t>
  </si>
  <si>
    <t>arn:aws:elasticloadbalancing:us-east-1:419135461434:loadbalancer/app/oci-st-OCIAp-ApajlVRWPNH1/69c6c65da19ea501</t>
  </si>
  <si>
    <t>1. Verify load balancer arn:aws:elasticloadbalancing:us-east-1:419135461434:loadbalancer/app/oci-st-OCIAp-ApajlVRWPNH1/69c6c65da19ea501 receives no traffic
2. Check DNS records and routing dependencies
3. Notify stakeholders of planned removal
4. Remove load balancer and associated resources
5. Update security groups and network ACLs if needed</t>
  </si>
  <si>
    <t>arn:aws:elasticloadbalancing:us-east-1:419135461434:loadbalancer/app/oci-st-OCIAp-j9F9KPOa7ix5/638ceb5549653ab2</t>
  </si>
  <si>
    <t>1. Verify load balancer arn:aws:elasticloadbalancing:us-east-1:419135461434:loadbalancer/app/oci-st-OCIAp-j9F9KPOa7ix5/638ceb5549653ab2 receives no traffic
2. Check DNS records and routing dependencies
3. Notify stakeholders of planned removal
4. Remove load balancer and associated resources
5. Update security groups and network ACLs if needed</t>
  </si>
  <si>
    <t>arn:aws:elasticloadbalancing:us-east-1:419135461434:loadbalancer/app/boss-ii-lb/bc6a1ffa278c9d35</t>
  </si>
  <si>
    <t>1. Verify load balancer arn:aws:elasticloadbalancing:us-east-1:419135461434:loadbalancer/app/boss-ii-lb/bc6a1ffa278c9d35 receives no traffic
2. Check DNS records and routing dependencies
3. Notify stakeholders of planned removal
4. Remove load balancer and associated resources
5. Update security groups and network ACLs if needed</t>
  </si>
  <si>
    <t>arn:aws:elasticloadbalancing:us-east-1:419135461434:loadbalancer/app/mwaa-a-ALBAE-sn8oOOlo1A0t/15a8827e4a6df8b3</t>
  </si>
  <si>
    <t>1. Verify load balancer arn:aws:elasticloadbalancing:us-east-1:419135461434:loadbalancer/app/mwaa-a-ALBAE-sn8oOOlo1A0t/15a8827e4a6df8b3 receives no traffic
2. Check DNS records and routing dependencies
3. Notify stakeholders of planned removal
4. Remove load balancer and associated resources
5. Update security groups and network ACLs if needed</t>
  </si>
  <si>
    <t>arn:aws:elasticloadbalancing:us-east-1:522814718659:loadbalancer/net/api-nlb/137ed39b0159562b</t>
  </si>
  <si>
    <t>1. Verify load balancer arn:aws:elasticloadbalancing:us-east-1:522814718659:loadbalancer/net/api-nlb/137ed39b0159562b receives no traffic
2. Check DNS records and routing dependencies
3. Notify stakeholders of planned removal
4. Remove load balancer and associated resources
5. Update security groups and network ACLs if needed</t>
  </si>
  <si>
    <t>arn:aws:elasticloadbalancing:us-east-1:608649261817:loadbalancer/app/salesforce-service-alb/7967d25ca8b43b69</t>
  </si>
  <si>
    <t>1. Verify load balancer arn:aws:elasticloadbalancing:us-east-1:608649261817:loadbalancer/app/salesforce-service-alb/7967d25ca8b43b69 receives no traffic
2. Check DNS records and routing dependencies
3. Notify stakeholders of planned removal
4. Remove load balancer and associated resources
5. Update security groups and network ACLs if needed</t>
  </si>
  <si>
    <t>arn:aws:elasticloadbalancing:us-east-1:608649261817:loadbalancer/app/private-boss-ii-lb-ii/6cf428598abc8637</t>
  </si>
  <si>
    <t>1. Verify load balancer arn:aws:elasticloadbalancing:us-east-1:608649261817:loadbalancer/app/private-boss-ii-lb-ii/6cf428598abc8637 receives no traffic
2. Check DNS records and routing dependencies
3. Notify stakeholders of planned removal
4. Remove load balancer and associated resources
5. Update security groups and network ACLs if needed</t>
  </si>
  <si>
    <t>arn:aws:elasticloadbalancing:us-east-1:608649261817:loadbalancer/app/transcript-to-safe-dev-alb/9749895f54a1aa40</t>
  </si>
  <si>
    <t>1. Verify load balancer arn:aws:elasticloadbalancing:us-east-1:608649261817:loadbalancer/app/transcript-to-safe-dev-alb/9749895f54a1aa40 receives no traffic
2. Check DNS records and routing dependencies
3. Notify stakeholders of planned removal
4. Remove load balancer and associated resources
5. Update security groups and network ACLs if needed</t>
  </si>
  <si>
    <t>vol-08906efcc4b42f82e</t>
  </si>
  <si>
    <t>1. Verify EBS volume vol-08906efcc4b42f82e is truly unused
2. Check if volume has any snapshots or dependencies
3. Create final snapshot if data retention is required
4. Delete the unused volume
5. Verify deletion and update inventory</t>
  </si>
  <si>
    <t>vol-02c7a2de1a4f3eea5</t>
  </si>
  <si>
    <t>1. Verify EBS volume vol-02c7a2de1a4f3eea5 is truly unused
2. Check if volume has any snapshots or dependencies
3. Create final snapshot if data retention is required
4. Delete the unused volume
5. Verify deletion and update inventory</t>
  </si>
  <si>
    <t>runner-storage</t>
  </si>
  <si>
    <t>1. Verify EBS volume runner-storage is truly unused
2. Check if volume has any snapshots or dependencies
3. Create final snapshot if data retention is required
4. Delete the unused volume
5. Verify deletion and update inventory</t>
  </si>
  <si>
    <t>arn:aws:elasticloadbalancing:us-east-1:295451572584:loadbalancer/app/TranzactPrivateAppLb/c4e04da9c1a03247</t>
  </si>
  <si>
    <t>1. Verify load balancer arn:aws:elasticloadbalancing:us-east-1:295451572584:loadbalancer/app/TranzactPrivateAppLb/c4e04da9c1a03247 receives no traffic
2. Check DNS records and routing dependencies
3. Notify stakeholders of planned removal
4. Remove load balancer and associated resources
5. Update security groups and network ACLs if needed</t>
  </si>
  <si>
    <t>arn:aws:elasticloadbalancing:us-east-1:295451572584:loadbalancer/net/tranzactPrivateNLB/370ba7f6923bef56</t>
  </si>
  <si>
    <t>1. Verify load balancer arn:aws:elasticloadbalancing:us-east-1:295451572584:loadbalancer/net/tranzactPrivateNLB/370ba7f6923bef56 receives no traffic
2. Check DNS records and routing dependencies
3. Notify stakeholders of planned removal
4. Remove load balancer and associated resources
5. Update security groups and network ACLs if needed</t>
  </si>
  <si>
    <t>vol-7f8861f7</t>
  </si>
  <si>
    <t>1. Verify EBS volume vol-7f8861f7 is truly unused
2. Check if volume has any snapshots or dependencies
3. Create final snapshot if data retention is required
4. Delete the unused volume
5. Verify deletion and update inventory</t>
  </si>
  <si>
    <t>vol-0a351628f1daffd1c</t>
  </si>
  <si>
    <t>1. Verify EBS volume vol-0a351628f1daffd1c is truly unused
2. Check if volume has any snapshots or dependencies
3. Create final snapshot if data retention is required
4. Delete the unused volume
5. Verify deletion and update inventory</t>
  </si>
  <si>
    <t>vol-0cc414c5f6978d8e4</t>
  </si>
  <si>
    <t>1. Verify EBS volume vol-0cc414c5f6978d8e4 is truly unused
2. Check if volume has any snapshots or dependencies
3. Create final snapshot if data retention is required
4. Delete the unused volume
5. Verify deletion and update inventory</t>
  </si>
  <si>
    <t>vol-0f0e3e4e9c84fb45b</t>
  </si>
  <si>
    <t>1. Verify EBS volume vol-0f0e3e4e9c84fb45b is truly unused
2. Check if volume has any snapshots or dependencies
3. Create final snapshot if data retention is required
4. Delete the unused volume
5. Verify deletion and update inventory</t>
  </si>
  <si>
    <t>vol-075fee2d707b73b24</t>
  </si>
  <si>
    <t>1. Verify EBS volume vol-075fee2d707b73b24 is truly unused
2. Check if volume has any snapshots or dependencies
3. Create final snapshot if data retention is required
4. Delete the unused volume
5. Verify deletion and update inventory</t>
  </si>
  <si>
    <t>vol-0106cf52d90b4d26f</t>
  </si>
  <si>
    <t>1. Verify EBS volume vol-0106cf52d90b4d26f is truly unused
2. Check if volume has any snapshots or dependencies
3. Create final snapshot if data retention is required
4. Delete the unused volume
5. Verify deletion and update inventory</t>
  </si>
  <si>
    <t>vol-019d66da9ba0993c7</t>
  </si>
  <si>
    <t>1. Verify EBS volume vol-019d66da9ba0993c7 is truly unused
2. Check if volume has any snapshots or dependencies
3. Create final snapshot if data retention is required
4. Delete the unused volume
5. Verify deletion and update inventory</t>
  </si>
  <si>
    <t>arn:aws:elasticloadbalancing:us-east-1:585008064350:loadbalancer/app/tranzact-mcp-preprod-alb/ae3037c14173dd68</t>
  </si>
  <si>
    <t>1. Verify load balancer arn:aws:elasticloadbalancing:us-east-1:585008064350:loadbalancer/app/tranzact-mcp-preprod-alb/ae3037c14173dd68 receives no traffic
2. Check DNS records and routing dependencies
3. Notify stakeholders of planned removal
4. Remove load balancer and associated resources
5. Update security groups and network ACLs if needed</t>
  </si>
  <si>
    <t>vol-0a4a7001c2402f0b3</t>
  </si>
  <si>
    <t>1. Verify EBS volume vol-0a4a7001c2402f0b3 is truly unused
2. Check if volume has any snapshots or dependencies
3. Create final snapshot if data retention is required
4. Delete the unused volume
5. Verify deletion and update inventory</t>
  </si>
  <si>
    <t>vol-0a2aa8ed5a8b82b2c</t>
  </si>
  <si>
    <t>1. Verify EBS volume vol-0a2aa8ed5a8b82b2c is truly unused
2. Check if volume has any snapshots or dependencies
3. Create final snapshot if data retention is required
4. Delete the unused volume
5. Verify deletion and update inventory</t>
  </si>
  <si>
    <t>vol-09748e215993c766b</t>
  </si>
  <si>
    <t>1. Verify EBS volume vol-09748e215993c766b is truly unused
2. Check if volume has any snapshots or dependencies
3. Create final snapshot if data retention is required
4. Delete the unused volume
5. Verify deletion and update inventory</t>
  </si>
  <si>
    <t>vol-09fb6ba5548101977</t>
  </si>
  <si>
    <t>1. Verify EBS volume vol-09fb6ba5548101977 is truly unused
2. Check if volume has any snapshots or dependencies
3. Create final snapshot if data retention is required
4. Delete the unused volume
5. Verify deletion and update inventory</t>
  </si>
  <si>
    <t>vol-084d35be27bd94b64</t>
  </si>
  <si>
    <t>1. Verify EBS volume vol-084d35be27bd94b64 is truly unused
2. Check if volume has any snapshots or dependencies
3. Create final snapshot if data retention is required
4. Delete the unused volume
5. Verify deletion and update inventory</t>
  </si>
  <si>
    <t>vol-04a9fd6be9c42b657</t>
  </si>
  <si>
    <t>1. Verify EBS volume vol-04a9fd6be9c42b657 is truly unused
2. Check if volume has any snapshots or dependencies
3. Create final snapshot if data retention is required
4. Delete the unused volume
5. Verify deletion and update inventory</t>
  </si>
  <si>
    <t>vol-06b1ad9c7c2379d33</t>
  </si>
  <si>
    <t>1. Verify EBS volume vol-06b1ad9c7c2379d33 is truly unused
2. Check if volume has any snapshots or dependencies
3. Create final snapshot if data retention is required
4. Delete the unused volume
5. Verify deletion and update inventory</t>
  </si>
  <si>
    <t>vol-0032eddf7138a31fd</t>
  </si>
  <si>
    <t>1. Verify EBS volume vol-0032eddf7138a31fd is truly unused
2. Check if volume has any snapshots or dependencies
3. Create final snapshot if data retention is required
4. Delete the unused volume
5. Verify deletion and update inventory</t>
  </si>
  <si>
    <t>vol-0f6116d66ea2505e0</t>
  </si>
  <si>
    <t>1. Verify EBS volume vol-0f6116d66ea2505e0 is truly unused
2. Check if volume has any snapshots or dependencies
3. Create final snapshot if data retention is required
4. Delete the unused volume
5. Verify deletion and update inventory</t>
  </si>
  <si>
    <t>vol-026e05124d76a7c76</t>
  </si>
  <si>
    <t>1. Verify EBS volume vol-026e05124d76a7c76 is truly unused
2. Check if volume has any snapshots or dependencies
3. Create final snapshot if data retention is required
4. Delete the unused volume
5. Verify deletion and update inventory</t>
  </si>
  <si>
    <t>cvoip-core-WebApp-Dev</t>
  </si>
  <si>
    <t>1. Verify EBS volume cvoip-core-WebApp-Dev is truly unused
2. Check if volume has any snapshots or dependencies
3. Create final snapshot if data retention is required
4. Delete the unused volume
5. Verify deletion and update inventory</t>
  </si>
  <si>
    <t>vol-04937fdb20b7acf18</t>
  </si>
  <si>
    <t>1. Verify EBS volume vol-04937fdb20b7acf18 is truly unused
2. Check if volume has any snapshots or dependencies
3. Create final snapshot if data retention is required
4. Delete the unused volume
5. Verify deletion and update inventory</t>
  </si>
  <si>
    <t>vol-0a18d4d8b712f82f3</t>
  </si>
  <si>
    <t>1. Verify EBS volume vol-0a18d4d8b712f82f3 is truly unused
2. Check if volume has any snapshots or dependencies
3. Create final snapshot if data retention is required
4. Delete the unused volume
5. Verify deletion and update inventory</t>
  </si>
  <si>
    <t>vol-07dccf4b750d2cdbb</t>
  </si>
  <si>
    <t>1. Verify EBS volume vol-07dccf4b750d2cdbb is truly unused
2. Check if volume has any snapshots or dependencies
3. Create final snapshot if data retention is required
4. Delete the unused volume
5. Verify deletion and update inventory</t>
  </si>
  <si>
    <t>vol-036e6cce7333f0ecb</t>
  </si>
  <si>
    <t>1. Verify EBS volume vol-036e6cce7333f0ecb is truly unused
2. Check if volume has any snapshots or dependencies
3. Create final snapshot if data retention is required
4. Delete the unused volume
5. Verify deletion and update inventory</t>
  </si>
  <si>
    <t>vol-0502b0aecbcf646e4</t>
  </si>
  <si>
    <t>1. Verify EBS volume vol-0502b0aecbcf646e4 is truly unused
2. Check if volume has any snapshots or dependencies
3. Create final snapshot if data retention is required
4. Delete the unused volume
5. Verify deletion and update inventory</t>
  </si>
  <si>
    <t>arn:aws:elasticloadbalancing:us-east-1:277391387317:targetgroup/cvoip-core-prod-tg1/5bba0806d0d8e903</t>
  </si>
  <si>
    <t>NETWORKING_AND_CONTENTDELIVERY</t>
  </si>
  <si>
    <t>ELBV2_TARGET_GROUP</t>
  </si>
  <si>
    <t>Target Groups with no load balancer associated with it is considered unused</t>
  </si>
  <si>
    <t>Ensure that you delete or remove any target groups that are not associated with a load balancer.</t>
  </si>
  <si>
    <t>1. Verify target group arn:aws:elasticloadbalancing:us-east-1:277391387317:targetgroup/cvoip-core-prod-tg1/5bba0806d0d8e903 has no active targets
2. Check for any load balancer associations
3. Remove target group from load balancers if needed
4. Delete the unused target group
5. Update documentation and monitoring</t>
  </si>
  <si>
    <t>Low - Minimal business impact expected</t>
  </si>
  <si>
    <t>VPC &amp; Networking</t>
  </si>
  <si>
    <t>arn:aws:elasticloadbalancing:us-east-1:277391387317:targetgroup/cvoip-core-tg-dev-1/99448af7ad0da0a1</t>
  </si>
  <si>
    <t>1. Verify target group arn:aws:elasticloadbalancing:us-east-1:277391387317:targetgroup/cvoip-core-tg-dev-1/99448af7ad0da0a1 has no active targets
2. Check for any load balancer associations
3. Remove target group from load balancers if needed
4. Delete the unused target group
5. Update documentation and monitoring</t>
  </si>
  <si>
    <t>arn:aws:elasticloadbalancing:us-east-1:277391387317:targetgroup/cvoip-core-tg-uat/597a663e0a700e75</t>
  </si>
  <si>
    <t>1. Verify target group arn:aws:elasticloadbalancing:us-east-1:277391387317:targetgroup/cvoip-core-tg-uat/597a663e0a700e75 has no active targets
2. Check for any load balancer associations
3. Remove target group from load balancers if needed
4. Delete the unused target group
5. Update documentation and monitoring</t>
  </si>
  <si>
    <t>arn:aws:elasticloadbalancing:us-east-2:277391387317:targetgroup/demo-tg-alb/f94de341dc127ced</t>
  </si>
  <si>
    <t>1. Verify target group arn:aws:elasticloadbalancing:us-east-2:277391387317:targetgroup/demo-tg-alb/f94de341dc127ced has no active targets
2. Check for any load balancer associations
3. Remove target group from load balancers if needed
4. Delete the unused target group
5. Update documentation and monitoring</t>
  </si>
  <si>
    <t>arn:aws:elasticloadbalancing:us-east-1:295451572584:targetgroup/msvc-a-msvca-HXYATVMEZCUP/4c5918c6ef798139</t>
  </si>
  <si>
    <t>1. Verify target group arn:aws:elasticloadbalancing:us-east-1:295451572584:targetgroup/msvc-a-msvca-HXYATVMEZCUP/4c5918c6ef798139 has no active targets
2. Check for any load balancer associations
3. Remove target group from load balancers if needed
4. Delete the unused target group
5. Update documentation and monitoring</t>
  </si>
  <si>
    <t>VPC-to-NVC</t>
  </si>
  <si>
    <t>VPN_GATEWAY</t>
  </si>
  <si>
    <t>To list the unused virtual private gateway which are unused</t>
  </si>
  <si>
    <t>Remove or delete unused virtual private gateways.</t>
  </si>
  <si>
    <t>Phase 2 - Network Infrastructure (Week 3-4)</t>
  </si>
  <si>
    <t>2026-01-26</t>
  </si>
  <si>
    <t>1. Verify VPN gateway VPC-to-NVC has no active connections
2. Check route tables and VPC associations
3. Coordinate with network team for removal
4. Detach from VPC and delete gateway
5. Update network documentation</t>
  </si>
  <si>
    <t>High - Network infrastructure changes require coordination</t>
  </si>
  <si>
    <t>arn:aws:elasticloadbalancing:us-east-1:419135461434:targetgroup/msvc-i-msvci-72VEOJKDMQGM/08fb57012adb85f6</t>
  </si>
  <si>
    <t>1. Verify target group arn:aws:elasticloadbalancing:us-east-1:419135461434:targetgroup/msvc-i-msvci-72VEOJKDMQGM/08fb57012adb85f6 has no active targets
2. Check for any load balancer associations
3. Remove target group from load balancers if needed
4. Delete the unused target group
5. Update documentation and monitoring</t>
  </si>
  <si>
    <t>arn:aws:elasticloadbalancing:us-east-1:419135461434:targetgroup/ui-ord-uiord-LDM11SPRGQLE/0c095f1c8a206b24</t>
  </si>
  <si>
    <t>1. Verify target group arn:aws:elasticloadbalancing:us-east-1:419135461434:targetgroup/ui-ord-uiord-LDM11SPRGQLE/0c095f1c8a206b24 has no active targets
2. Check for any load balancer associations
3. Remove target group from load balancers if needed
4. Delete the unused target group
5. Update documentation and monitoring</t>
  </si>
  <si>
    <t>denverTunnels</t>
  </si>
  <si>
    <t>TRANSIT_GATEWAY_ATTACHMENTS</t>
  </si>
  <si>
    <t>To describe the TransitGateWay and find the unused ones.</t>
  </si>
  <si>
    <t>Remove the unused transit gateways.</t>
  </si>
  <si>
    <t>1. Review transit gateway attachment denverTunnels
2. Check for active routing and dependencies
3. Coordinate with network architecture team
4. Remove attachment and update route tables
5. Validate network connectivity post-removal</t>
  </si>
  <si>
    <t>ashburnTunnels</t>
  </si>
  <si>
    <t>1. Review transit gateway attachment ashburnTunnels
2. Check for active routing and dependencies
3. Coordinate with network architecture team
4. Remove attachment and update route tables
5. Validate network connectivity post-removal</t>
  </si>
  <si>
    <t>arn:aws:elasticloadbalancing:us-east-1:608649261817:targetgroup/msvc-o-msvco-ZKLOOKUI3YLZ/0edc7f3acf3b8656</t>
  </si>
  <si>
    <t>1. Verify target group arn:aws:elasticloadbalancing:us-east-1:608649261817:targetgroup/msvc-o-msvco-ZKLOOKUI3YLZ/0edc7f3acf3b8656 has no active targets
2. Check for any load balancer associations
3. Remove target group from load balancers if needed
4. Delete the unused target group
5. Update documentation and monitoring</t>
  </si>
  <si>
    <t>arn:aws:elasticloadbalancing:us-east-1:608649261817:targetgroup/tz3-ps-tz3ps-6GADV1OXZ9MO/07a59791d417d280</t>
  </si>
  <si>
    <t>1. Verify target group arn:aws:elasticloadbalancing:us-east-1:608649261817:targetgroup/tz3-ps-tz3ps-6GADV1OXZ9MO/07a59791d417d280 has no active targets
2. Check for any load balancer associations
3. Remove target group from load balancers if needed
4. Delete the unused target group
5. Update documentation and monitoring</t>
  </si>
  <si>
    <t>arn:aws:elasticloadbalancing:us-east-1:608649261817:targetgroup/tz3-ps-tz3ps-EL9XJCWTPV6L/dccbb0fa8f080ffb</t>
  </si>
  <si>
    <t>1. Verify target group arn:aws:elasticloadbalancing:us-east-1:608649261817:targetgroup/tz3-ps-tz3ps-EL9XJCWTPV6L/dccbb0fa8f080ffb has no active targets
2. Check for any load balancer associations
3. Remove target group from load balancers if needed
4. Delete the unused target group
5. Update documentation and monitoring</t>
  </si>
  <si>
    <t>arn:aws:elasticloadbalancing:us-east-1:608649261817:targetgroup/msvc-o-msvco-ELPLXETXTMMZ/245a81364886d3a8</t>
  </si>
  <si>
    <t>1. Verify target group arn:aws:elasticloadbalancing:us-east-1:608649261817:targetgroup/msvc-o-msvco-ELPLXETXTMMZ/245a81364886d3a8 has no active targets
2. Check for any load balancer associations
3. Remove target group from load balancers if needed
4. Delete the unused target group
5. Update documentation and monitoring</t>
  </si>
  <si>
    <t>arn:aws:elasticloadbalancing:us-east-1:608649261817:targetgroup/tz3-ps-tz3ps-UNUERCVHEKBN/25daa77a1f10d9ba</t>
  </si>
  <si>
    <t>1. Verify target group arn:aws:elasticloadbalancing:us-east-1:608649261817:targetgroup/tz3-ps-tz3ps-UNUERCVHEKBN/25daa77a1f10d9ba has no active targets
2. Check for any load balancer associations
3. Remove target group from load balancers if needed
4. Delete the unused target group
5. Update documentation and monitoring</t>
  </si>
  <si>
    <t>arn:aws:elasticloadbalancing:us-east-1:608649261817:targetgroup/msvc-o-msvco-IIW5I4WW5SPU/f42def433842d9dd</t>
  </si>
  <si>
    <t>1. Verify target group arn:aws:elasticloadbalancing:us-east-1:608649261817:targetgroup/msvc-o-msvco-IIW5I4WW5SPU/f42def433842d9dd has no active targets
2. Check for any load balancer associations
3. Remove target group from load balancers if needed
4. Delete the unused target group
5. Update documentation and monitoring</t>
  </si>
  <si>
    <t>arn:aws:elasticloadbalancing:us-east-1:608649261817:targetgroup/tz3-ps-tz3ps-MLO9DHG05EQH/613b1abe340b3cb4</t>
  </si>
  <si>
    <t>1. Verify target group arn:aws:elasticloadbalancing:us-east-1:608649261817:targetgroup/tz3-ps-tz3ps-MLO9DHG05EQH/613b1abe340b3cb4 has no active targets
2. Check for any load balancer associations
3. Remove target group from load balancers if needed
4. Delete the unused target group
5. Update documentation and monitoring</t>
  </si>
  <si>
    <t>arn:aws:elasticloadbalancing:us-east-1:608649261817:targetgroup/tz3-p-tz3pl-11B2UTHK4V662/bc0f7951ecf53ce5</t>
  </si>
  <si>
    <t>Unused EC2 Target Groups</t>
  </si>
  <si>
    <t>1. Verify target group arn:aws:elasticloadbalancing:us-east-1:608649261817:targetgroup/tz3-p-tz3pl-11B2UTHK4V662/bc0f7951ecf53ce5 has no active targets
2. Check for any load balancer associations
3. Remove target group from load balancers if needed
4. Delete the unused target group
5. Update documentation and monitoring</t>
  </si>
  <si>
    <t>arn:aws:elasticloadbalancing:us-east-1:608649261817:targetgroup/tz3-ps-tz3ps-EOVAPYHX8EHI/9cc54e9c02341c86</t>
  </si>
  <si>
    <t>1. Verify target group arn:aws:elasticloadbalancing:us-east-1:608649261817:targetgroup/tz3-ps-tz3ps-EOVAPYHX8EHI/9cc54e9c02341c86 has no active targets
2. Check for any load balancer associations
3. Remove target group from load balancers if needed
4. Delete the unused target group
5. Update documentation and monitoring</t>
  </si>
  <si>
    <t>arn:aws:elasticloadbalancing:us-east-1:608649261817:targetgroup/tz3-ps-tz3ps-F2D4HSWLYW6Z/0c33eeb586df0555</t>
  </si>
  <si>
    <t>1. Verify target group arn:aws:elasticloadbalancing:us-east-1:608649261817:targetgroup/tz3-ps-tz3ps-F2D4HSWLYW6Z/0c33eeb586df0555 has no active targets
2. Check for any load balancer associations
3. Remove target group from load balancers if needed
4. Delete the unused target group
5. Update documentation and monitoring</t>
  </si>
  <si>
    <t>arn:aws:elasticloadbalancing:us-east-1:608649261817:targetgroup/boss-ii-review-app-tg/2a19a68db2a3ab28</t>
  </si>
  <si>
    <t>1. Verify target group arn:aws:elasticloadbalancing:us-east-1:608649261817:targetgroup/boss-ii-review-app-tg/2a19a68db2a3ab28 has no active targets
2. Check for any load balancer associations
3. Remove target group from load balancers if needed
4. Delete the unused target group
5. Update documentation and monitoring</t>
  </si>
  <si>
    <t>arn:aws:elasticloadbalancing:us-east-1:608649261817:targetgroup/tz3-p-tz3pl-1SBP7BP62Y3NF/544897138f6d76b5</t>
  </si>
  <si>
    <t>1. Verify target group arn:aws:elasticloadbalancing:us-east-1:608649261817:targetgroup/tz3-p-tz3pl-1SBP7BP62Y3NF/544897138f6d76b5 has no active targets
2. Check for any load balancer associations
3. Remove target group from load balancers if needed
4. Delete the unused target group
5. Update documentation and monitoring</t>
  </si>
  <si>
    <t>arn:aws:elasticloadbalancing:us-east-1:608649261817:targetgroup/tz3-ps-tz3ps-8MFZYWU5GRJF/77a0f5bf8c2930e5</t>
  </si>
  <si>
    <t>1. Verify target group arn:aws:elasticloadbalancing:us-east-1:608649261817:targetgroup/tz3-ps-tz3ps-8MFZYWU5GRJF/77a0f5bf8c2930e5 has no active targets
2. Check for any load balancer associations
3. Remove target group from load balancers if needed
4. Delete the unused target group
5. Update documentation and monitoring</t>
  </si>
  <si>
    <t>arn:aws:elasticloadbalancing:us-east-1:608649261817:targetgroup/tz3-ps-tz3ps-6ZPRAH7BTGFU/6f811ba718eeb45d</t>
  </si>
  <si>
    <t>1. Verify target group arn:aws:elasticloadbalancing:us-east-1:608649261817:targetgroup/tz3-ps-tz3ps-6ZPRAH7BTGFU/6f811ba718eeb45d has no active targets
2. Check for any load balancer associations
3. Remove target group from load balancers if needed
4. Delete the unused target group
5. Update documentation and monitoring</t>
  </si>
  <si>
    <t>arn:aws:elasticloadbalancing:us-east-1:608649261817:targetgroup/msvc-q-msvcq-U8GBJ1KXIJOK/efc481bb69c71f44</t>
  </si>
  <si>
    <t>1. Verify target group arn:aws:elasticloadbalancing:us-east-1:608649261817:targetgroup/msvc-q-msvcq-U8GBJ1KXIJOK/efc481bb69c71f44 has no active targets
2. Check for any load balancer associations
3. Remove target group from load balancers if needed
4. Delete the unused target group
5. Update documentation and monitoring</t>
  </si>
  <si>
    <t>arn:aws:elasticloadbalancing:us-east-1:608649261817:targetgroup/msvc-q-msvcq-XU4ZH6WWTDOM/dfca8c06a1c16d5f</t>
  </si>
  <si>
    <t>1. Verify target group arn:aws:elasticloadbalancing:us-east-1:608649261817:targetgroup/msvc-q-msvcq-XU4ZH6WWTDOM/dfca8c06a1c16d5f has no active targets
2. Check for any load balancer associations
3. Remove target group from load balancers if needed
4. Delete the unused target group
5. Update documentation and monitoring</t>
  </si>
  <si>
    <t>arn:aws:elasticloadbalancing:us-east-1:608649261817:targetgroup/msvc-q-msvcq-MUETTWLKTF2K/c2d229f62186598b</t>
  </si>
  <si>
    <t>1. Verify target group arn:aws:elasticloadbalancing:us-east-1:608649261817:targetgroup/msvc-q-msvcq-MUETTWLKTF2K/c2d229f62186598b has no active targets
2. Check for any load balancer associations
3. Remove target group from load balancers if needed
4. Delete the unused target group
5. Update documentation and monitoring</t>
  </si>
  <si>
    <t>arn:aws:elasticloadbalancing:us-east-1:608649261817:targetgroup/msvc-o-msvco-5NHOPHNVVNNY/7ce8f7369d35276b</t>
  </si>
  <si>
    <t>1. Verify target group arn:aws:elasticloadbalancing:us-east-1:608649261817:targetgroup/msvc-o-msvco-5NHOPHNVVNNY/7ce8f7369d35276b has no active targets
2. Check for any load balancer associations
3. Remove target group from load balancers if needed
4. Delete the unused target group
5. Update documentation and monitoring</t>
  </si>
  <si>
    <t>arn:aws:elasticloadbalancing:us-east-1:608649261817:targetgroup/tz3-p-tz3pl-14AJTY3AB7JX0/34abd5bd4e3b949f</t>
  </si>
  <si>
    <t>1. Verify target group arn:aws:elasticloadbalancing:us-east-1:608649261817:targetgroup/tz3-p-tz3pl-14AJTY3AB7JX0/34abd5bd4e3b949f has no active targets
2. Check for any load balancer associations
3. Remove target group from load balancers if needed
4. Delete the unused target group
5. Update documentation and monitoring</t>
  </si>
  <si>
    <t>arn:aws:elasticloadbalancing:us-east-1:608649261817:targetgroup/msvc-q-msvcq-BYMUWITSGS5K/acd5d64d1d2a9dd2</t>
  </si>
  <si>
    <t>1. Verify target group arn:aws:elasticloadbalancing:us-east-1:608649261817:targetgroup/msvc-q-msvcq-BYMUWITSGS5K/acd5d64d1d2a9dd2 has no active targets
2. Check for any load balancer associations
3. Remove target group from load balancers if needed
4. Delete the unused target group
5. Update documentation and monitoring</t>
  </si>
  <si>
    <t>arn:aws:elasticloadbalancing:us-east-1:608649261817:targetgroup/tz3-ps-tz3ps-NDXR2QWECW5A/8586f7d90c866fc9</t>
  </si>
  <si>
    <t>1. Verify target group arn:aws:elasticloadbalancing:us-east-1:608649261817:targetgroup/tz3-ps-tz3ps-NDXR2QWECW5A/8586f7d90c866fc9 has no active targets
2. Check for any load balancer associations
3. Remove target group from load balancers if needed
4. Delete the unused target group
5. Update documentation and monitoring</t>
  </si>
  <si>
    <t>arn:aws:elasticloadbalancing:us-east-1:608649261817:targetgroup/msvc-i-msvci-HCGOOAFDZRUJ/29e3bacb62cc999b</t>
  </si>
  <si>
    <t>1. Verify target group arn:aws:elasticloadbalancing:us-east-1:608649261817:targetgroup/msvc-i-msvci-HCGOOAFDZRUJ/29e3bacb62cc999b has no active targets
2. Check for any load balancer associations
3. Remove target group from load balancers if needed
4. Delete the unused target group
5. Update documentation and monitoring</t>
  </si>
  <si>
    <t>arn:aws:elasticloadbalancing:us-east-1:608649261817:targetgroup/tz3-p-tz3pl-1CLE5DGBSL5DD/5d62cf8d74fd3311</t>
  </si>
  <si>
    <t>1. Verify target group arn:aws:elasticloadbalancing:us-east-1:608649261817:targetgroup/tz3-p-tz3pl-1CLE5DGBSL5DD/5d62cf8d74fd3311 has no active targets
2. Check for any load balancer associations
3. Remove target group from load balancers if needed
4. Delete the unused target group
5. Update documentation and monitoring</t>
  </si>
  <si>
    <t>arn:aws:elasticloadbalancing:us-east-1:608649261817:targetgroup/boss-management-ii-tg/22e3ed1870ea0724</t>
  </si>
  <si>
    <t>1. Verify target group arn:aws:elasticloadbalancing:us-east-1:608649261817:targetgroup/boss-management-ii-tg/22e3ed1870ea0724 has no active targets
2. Check for any load balancer associations
3. Remove target group from load balancers if needed
4. Delete the unused target group
5. Update documentation and monitoring</t>
  </si>
  <si>
    <t>arn:aws:elasticloadbalancing:us-east-1:608649261817:targetgroup/tz3-ps-tz3ps-DJ2NHTPEFXIJ/36bcc16b533ae0ed</t>
  </si>
  <si>
    <t>1. Verify target group arn:aws:elasticloadbalancing:us-east-1:608649261817:targetgroup/tz3-ps-tz3ps-DJ2NHTPEFXIJ/36bcc16b533ae0ed has no active targets
2. Check for any load balancer associations
3. Remove target group from load balancers if needed
4. Delete the unused target group
5. Update documentation and monitoring</t>
  </si>
  <si>
    <t>arn:aws:elasticloadbalancing:us-east-1:608649261817:targetgroup/tz3-ps-tz3ps-TTEWNKO3LEPL/e707cb1021bd27be</t>
  </si>
  <si>
    <t>1. Verify target group arn:aws:elasticloadbalancing:us-east-1:608649261817:targetgroup/tz3-ps-tz3ps-TTEWNKO3LEPL/e707cb1021bd27be has no active targets
2. Check for any load balancer associations
3. Remove target group from load balancers if needed
4. Delete the unused target group
5. Update documentation and monitoring</t>
  </si>
  <si>
    <t>arn:aws:elasticloadbalancing:us-east-1:608649261817:targetgroup/tz3-ps-tz3ps-KQZIMJF8Z2XD/d4f0795588917a07</t>
  </si>
  <si>
    <t>1. Verify target group arn:aws:elasticloadbalancing:us-east-1:608649261817:targetgroup/tz3-ps-tz3ps-KQZIMJF8Z2XD/d4f0795588917a07 has no active targets
2. Check for any load balancer associations
3. Remove target group from load balancers if needed
4. Delete the unused target group
5. Update documentation and monitoring</t>
  </si>
  <si>
    <t>arn:aws:elasticloadbalancing:us-east-1:608649261817:targetgroup/tz3-ps-tz3ps-WBZUKLHRJYUB/f26a7f8b8704cfc9</t>
  </si>
  <si>
    <t>1. Verify target group arn:aws:elasticloadbalancing:us-east-1:608649261817:targetgroup/tz3-ps-tz3ps-WBZUKLHRJYUB/f26a7f8b8704cfc9 has no active targets
2. Check for any load balancer associations
3. Remove target group from load balancers if needed
4. Delete the unused target group
5. Update documentation and monitoring</t>
  </si>
  <si>
    <t>arn:aws:elasticloadbalancing:us-east-1:608649261817:targetgroup/tz3-ps-tz3ps-3RUVWP2XK0BX/3b116669ebd97fd3</t>
  </si>
  <si>
    <t>1. Verify target group arn:aws:elasticloadbalancing:us-east-1:608649261817:targetgroup/tz3-ps-tz3ps-3RUVWP2XK0BX/3b116669ebd97fd3 has no active targets
2. Check for any load balancer associations
3. Remove target group from load balancers if needed
4. Delete the unused target group
5. Update documentation and monitoring</t>
  </si>
  <si>
    <t>arn:aws:elasticloadbalancing:us-east-1:608649261817:targetgroup/tz3-d-tz3de-170700ML8G3MI/bd648f58ad9f1278</t>
  </si>
  <si>
    <t>1. Verify target group arn:aws:elasticloadbalancing:us-east-1:608649261817:targetgroup/tz3-d-tz3de-170700ML8G3MI/bd648f58ad9f1278 has no active targets
2. Check for any load balancer associations
3. Remove target group from load balancers if needed
4. Delete the unused target group
5. Update documentation and monitoring</t>
  </si>
  <si>
    <t>arn:aws:elasticloadbalancing:us-east-1:608649261817:targetgroup/msvc-o-msvco-Z8UKBWF1HJLG/c998263b4b86dd22</t>
  </si>
  <si>
    <t>1. Verify target group arn:aws:elasticloadbalancing:us-east-1:608649261817:targetgroup/msvc-o-msvco-Z8UKBWF1HJLG/c998263b4b86dd22 has no active targets
2. Check for any load balancer associations
3. Remove target group from load balancers if needed
4. Delete the unused target group
5. Update documentation and monitoring</t>
  </si>
  <si>
    <t>arn:aws:elasticloadbalancing:us-east-1:608649261817:targetgroup/tz3-ps-tz3ps-ZL2MV3THYZ83/f214643e955f35ab</t>
  </si>
  <si>
    <t>1. Verify target group arn:aws:elasticloadbalancing:us-east-1:608649261817:targetgroup/tz3-ps-tz3ps-ZL2MV3THYZ83/f214643e955f35ab has no active targets
2. Check for any load balancer associations
3. Remove target group from load balancers if needed
4. Delete the unused target group
5. Update documentation and monitoring</t>
  </si>
  <si>
    <t>arn:aws:elasticloadbalancing:us-east-1:608649261817:targetgroup/tz3-ps-tz3ps-QSHNSH6H4QHU/fd3522d3c24fbbfd</t>
  </si>
  <si>
    <t>1. Verify target group arn:aws:elasticloadbalancing:us-east-1:608649261817:targetgroup/tz3-ps-tz3ps-QSHNSH6H4QHU/fd3522d3c24fbbfd has no active targets
2. Check for any load balancer associations
3. Remove target group from load balancers if needed
4. Delete the unused target group
5. Update documentation and monitoring</t>
  </si>
  <si>
    <t>arn:aws:elasticloadbalancing:us-east-1:608649261817:targetgroup/tz3-ps-tz3ps-DSVILDOKNITZ/f7e2ea617434649b</t>
  </si>
  <si>
    <t>1. Verify target group arn:aws:elasticloadbalancing:us-east-1:608649261817:targetgroup/tz3-ps-tz3ps-DSVILDOKNITZ/f7e2ea617434649b has no active targets
2. Check for any load balancer associations
3. Remove target group from load balancers if needed
4. Delete the unused target group
5. Update documentation and monitoring</t>
  </si>
  <si>
    <t>arn:aws:elasticloadbalancing:us-east-1:608649261817:targetgroup/tz3-ps-tz3ps-C0V21JQJGNUS/451168c5dd9a9204</t>
  </si>
  <si>
    <t>1. Verify target group arn:aws:elasticloadbalancing:us-east-1:608649261817:targetgroup/tz3-ps-tz3ps-C0V21JQJGNUS/451168c5dd9a9204 has no active targets
2. Check for any load balancer associations
3. Remove target group from load balancers if needed
4. Delete the unused target group
5. Update documentation and monitoring</t>
  </si>
  <si>
    <t>arn:aws:elasticloadbalancing:us-east-1:608649261817:targetgroup/tz3-ps-tz3ps-AHYURCV5ZJBC/13ca3a991b9653ea</t>
  </si>
  <si>
    <t>1. Verify target group arn:aws:elasticloadbalancing:us-east-1:608649261817:targetgroup/tz3-ps-tz3ps-AHYURCV5ZJBC/13ca3a991b9653ea has no active targets
2. Check for any load balancer associations
3. Remove target group from load balancers if needed
4. Delete the unused target group
5. Update documentation and monitoring</t>
  </si>
  <si>
    <t>arn:aws:elasticloadbalancing:us-east-1:608649261817:targetgroup/msvc-q-msvcq-5SHU0XXYREXF/29f69d87f64fae8f</t>
  </si>
  <si>
    <t>1. Verify target group arn:aws:elasticloadbalancing:us-east-1:608649261817:targetgroup/msvc-q-msvcq-5SHU0XXYREXF/29f69d87f64fae8f has no active targets
2. Check for any load balancer associations
3. Remove target group from load balancers if needed
4. Delete the unused target group
5. Update documentation and monitoring</t>
  </si>
  <si>
    <t>arn:aws:elasticloadbalancing:us-east-1:608649261817:targetgroup/tz3-ps-tz3ps-VP5OU2NWNUKH/4906c2732485d035</t>
  </si>
  <si>
    <t>1. Verify target group arn:aws:elasticloadbalancing:us-east-1:608649261817:targetgroup/tz3-ps-tz3ps-VP5OU2NWNUKH/4906c2732485d035 has no active targets
2. Check for any load balancer associations
3. Remove target group from load balancers if needed
4. Delete the unused target group
5. Update documentation and monitoring</t>
  </si>
  <si>
    <t>arn:aws:elasticloadbalancing:us-east-1:608649261817:targetgroup/tz3-ps-tz3ps-CWSUTSQVICYU/ff8c54009f29cf85</t>
  </si>
  <si>
    <t>1. Verify target group arn:aws:elasticloadbalancing:us-east-1:608649261817:targetgroup/tz3-ps-tz3ps-CWSUTSQVICYU/ff8c54009f29cf85 has no active targets
2. Check for any load balancer associations
3. Remove target group from load balancers if needed
4. Delete the unused target group
5. Update documentation and monitoring</t>
  </si>
  <si>
    <t>arn:aws:elasticloadbalancing:us-east-1:608649261817:targetgroup/tz3-ps-tz3ps-DAT6GONF3EDU/0e5e540a591641bc</t>
  </si>
  <si>
    <t>1. Verify target group arn:aws:elasticloadbalancing:us-east-1:608649261817:targetgroup/tz3-ps-tz3ps-DAT6GONF3EDU/0e5e540a591641bc has no active targets
2. Check for any load balancer associations
3. Remove target group from load balancers if needed
4. Delete the unused target group
5. Update documentation and monitoring</t>
  </si>
  <si>
    <t>arn:aws:elasticloadbalancing:us-east-1:608649261817:targetgroup/msvc-o-msvco-IGZUQGI6PNV0/299cddd5d2ee61a1</t>
  </si>
  <si>
    <t>1. Verify target group arn:aws:elasticloadbalancing:us-east-1:608649261817:targetgroup/msvc-o-msvco-IGZUQGI6PNV0/299cddd5d2ee61a1 has no active targets
2. Check for any load balancer associations
3. Remove target group from load balancers if needed
4. Delete the unused target group
5. Update documentation and monitoring</t>
  </si>
  <si>
    <t>arn:aws:elasticloadbalancing:us-east-1:608649261817:targetgroup/msvc-o-msvco-MZYRK6N4MIJY/88a2de89e4cfceba</t>
  </si>
  <si>
    <t>1. Verify target group arn:aws:elasticloadbalancing:us-east-1:608649261817:targetgroup/msvc-o-msvco-MZYRK6N4MIJY/88a2de89e4cfceba has no active targets
2. Check for any load balancer associations
3. Remove target group from load balancers if needed
4. Delete the unused target group
5. Update documentation and monitoring</t>
  </si>
  <si>
    <t>arn:aws:elasticloadbalancing:us-east-1:608649261817:targetgroup/tz3-ps-tz3ps-QOO62X0MEEZE/ccb4282e7484316f</t>
  </si>
  <si>
    <t>1. Verify target group arn:aws:elasticloadbalancing:us-east-1:608649261817:targetgroup/tz3-ps-tz3ps-QOO62X0MEEZE/ccb4282e7484316f has no active targets
2. Check for any load balancer associations
3. Remove target group from load balancers if needed
4. Delete the unused target group
5. Update documentation and monitoring</t>
  </si>
  <si>
    <t>arn:aws:elasticloadbalancing:us-east-1:608649261817:targetgroup/msvc-o-msvco-BYC9NHKHU8CS/dfce6d03a19dfc49</t>
  </si>
  <si>
    <t>1. Verify target group arn:aws:elasticloadbalancing:us-east-1:608649261817:targetgroup/msvc-o-msvco-BYC9NHKHU8CS/dfce6d03a19dfc49 has no active targets
2. Check for any load balancer associations
3. Remove target group from load balancers if needed
4. Delete the unused target group
5. Update documentation and monitoring</t>
  </si>
  <si>
    <t>arn:aws:elasticloadbalancing:us-east-1:608649261817:targetgroup/tz3-ps-tz3ps-ZHW3GI6GNBJO/a456a9f855d1ff81</t>
  </si>
  <si>
    <t>1. Verify target group arn:aws:elasticloadbalancing:us-east-1:608649261817:targetgroup/tz3-ps-tz3ps-ZHW3GI6GNBJO/a456a9f855d1ff81 has no active targets
2. Check for any load balancer associations
3. Remove target group from load balancers if needed
4. Delete the unused target group
5. Update documentation and monitoring</t>
  </si>
  <si>
    <t>arn:aws:elasticloadbalancing:us-east-1:608649261817:targetgroup/tz3-ps-tz3ps-KHNX4PWSRJ6S/8299dd674b59f695</t>
  </si>
  <si>
    <t>1. Verify target group arn:aws:elasticloadbalancing:us-east-1:608649261817:targetgroup/tz3-ps-tz3ps-KHNX4PWSRJ6S/8299dd674b59f695 has no active targets
2. Check for any load balancer associations
3. Remove target group from load balancers if needed
4. Delete the unused target group
5. Update documentation and monitoring</t>
  </si>
  <si>
    <t>arn:aws:elasticloadbalancing:us-east-1:608649261817:targetgroup/boss-ii-tg/8f11f0104fed40e6</t>
  </si>
  <si>
    <t>1. Verify target group arn:aws:elasticloadbalancing:us-east-1:608649261817:targetgroup/boss-ii-tg/8f11f0104fed40e6 has no active targets
2. Check for any load balancer associations
3. Remove target group from load balancers if needed
4. Delete the unused target group
5. Update documentation and monitoring</t>
  </si>
  <si>
    <t>arn:aws:elasticloadbalancing:us-east-1:608649261817:targetgroup/tz3-ps-tz3ps-Z7A20E3YG3PB/b220ad47acdf4bc7</t>
  </si>
  <si>
    <t>1. Verify target group arn:aws:elasticloadbalancing:us-east-1:608649261817:targetgroup/tz3-ps-tz3ps-Z7A20E3YG3PB/b220ad47acdf4bc7 has no active targets
2. Check for any load balancer associations
3. Remove target group from load balancers if needed
4. Delete the unused target group
5. Update documentation and monitoring</t>
  </si>
  <si>
    <t>arn:aws:elasticloadbalancing:us-east-1:608649261817:targetgroup/tz3-ps-tz3ps-A1N9VMFBM7FD/11741879d873f59c</t>
  </si>
  <si>
    <t>1. Verify target group arn:aws:elasticloadbalancing:us-east-1:608649261817:targetgroup/tz3-ps-tz3ps-A1N9VMFBM7FD/11741879d873f59c has no active targets
2. Check for any load balancer associations
3. Remove target group from load balancers if needed
4. Delete the unused target group
5. Update documentation and monitoring</t>
  </si>
  <si>
    <t>arn:aws:elasticloadbalancing:us-east-1:608649261817:targetgroup/tz3-p-tz3pl-1M0A7L9PYUXB4/60d4041f0a5f569e</t>
  </si>
  <si>
    <t>1. Verify target group arn:aws:elasticloadbalancing:us-east-1:608649261817:targetgroup/tz3-p-tz3pl-1M0A7L9PYUXB4/60d4041f0a5f569e has no active targets
2. Check for any load balancer associations
3. Remove target group from load balancers if needed
4. Delete the unused target group
5. Update documentation and monitoring</t>
  </si>
  <si>
    <t>arn:aws:elasticloadbalancing:us-east-1:608649261817:targetgroup/tz3-ps-tz3ps-LDSV5SMUX6VL/51c0ba79e717c838</t>
  </si>
  <si>
    <t>1. Verify target group arn:aws:elasticloadbalancing:us-east-1:608649261817:targetgroup/tz3-ps-tz3ps-LDSV5SMUX6VL/51c0ba79e717c838 has no active targets
2. Check for any load balancer associations
3. Remove target group from load balancers if needed
4. Delete the unused target group
5. Update documentation and monitoring</t>
  </si>
  <si>
    <t>arn:aws:elasticloadbalancing:us-east-1:608649261817:targetgroup/tz3-ps-tz3ps-LVUK5C7ZETZG/db34b5dc02ef66b4</t>
  </si>
  <si>
    <t>1. Verify target group arn:aws:elasticloadbalancing:us-east-1:608649261817:targetgroup/tz3-ps-tz3ps-LVUK5C7ZETZG/db34b5dc02ef66b4 has no active targets
2. Check for any load balancer associations
3. Remove target group from load balancers if needed
4. Delete the unused target group
5. Update documentation and monitoring</t>
  </si>
  <si>
    <t>arn:aws:elasticloadbalancing:us-east-1:608649261817:targetgroup/msvc-o-msvco-KG8WPU5UWWUS/b26f88fb5fa6fc7f</t>
  </si>
  <si>
    <t>1. Verify target group arn:aws:elasticloadbalancing:us-east-1:608649261817:targetgroup/msvc-o-msvco-KG8WPU5UWWUS/b26f88fb5fa6fc7f has no active targets
2. Check for any load balancer associations
3. Remove target group from load balancers if needed
4. Delete the unused target group
5. Update documentation and monitoring</t>
  </si>
  <si>
    <t>arn:aws:elasticloadbalancing:us-east-1:608649261817:targetgroup/msvc-o-msvco-JT4HK8CQZCH3/25847c75c6cdcb93</t>
  </si>
  <si>
    <t>1. Verify target group arn:aws:elasticloadbalancing:us-east-1:608649261817:targetgroup/msvc-o-msvco-JT4HK8CQZCH3/25847c75c6cdcb93 has no active targets
2. Check for any load balancer associations
3. Remove target group from load balancers if needed
4. Delete the unused target group
5. Update documentation and monitoring</t>
  </si>
  <si>
    <t>arn:aws:elasticloadbalancing:us-east-1:608649261817:targetgroup/msvc-q-msvcq-MHACICAPX6W5/259e75ab70f332c1</t>
  </si>
  <si>
    <t>1. Verify target group arn:aws:elasticloadbalancing:us-east-1:608649261817:targetgroup/msvc-q-msvcq-MHACICAPX6W5/259e75ab70f332c1 has no active targets
2. Check for any load balancer associations
3. Remove target group from load balancers if needed
4. Delete the unused target group
5. Update documentation and monitoring</t>
  </si>
  <si>
    <t>arn:aws:elasticloadbalancing:us-east-1:608649261817:targetgroup/tz3-ps-tz3ps-C3WGOT32NKLF/d2b354300eac99c5</t>
  </si>
  <si>
    <t>1. Verify target group arn:aws:elasticloadbalancing:us-east-1:608649261817:targetgroup/tz3-ps-tz3ps-C3WGOT32NKLF/d2b354300eac99c5 has no active targets
2. Check for any load balancer associations
3. Remove target group from load balancers if needed
4. Delete the unused target group
5. Update documentation and monitoring</t>
  </si>
  <si>
    <t>arn:aws:elasticloadbalancing:us-east-1:608649261817:targetgroup/msvc-o-msvco-RRJIQ7GQWYHN/8da4b27cdb99ca2e</t>
  </si>
  <si>
    <t>1. Verify target group arn:aws:elasticloadbalancing:us-east-1:608649261817:targetgroup/msvc-o-msvco-RRJIQ7GQWYHN/8da4b27cdb99ca2e has no active targets
2. Check for any load balancer associations
3. Remove target group from load balancers if needed
4. Delete the unused target group
5. Update documentation and monitoring</t>
  </si>
  <si>
    <t>arn:aws:elasticloadbalancing:us-east-1:608649261817:targetgroup/tz3-ps-tz3ps-YQMGHWBHYPMX/a89a1aab8e62bd1b</t>
  </si>
  <si>
    <t>1. Verify target group arn:aws:elasticloadbalancing:us-east-1:608649261817:targetgroup/tz3-ps-tz3ps-YQMGHWBHYPMX/a89a1aab8e62bd1b has no active targets
2. Check for any load balancer associations
3. Remove target group from load balancers if needed
4. Delete the unused target group
5. Update documentation and monitoring</t>
  </si>
  <si>
    <t>arn:aws:elasticloadbalancing:us-east-1:608649261817:targetgroup/tz3-te-tz3te-VXWVRKBJCMO9/01afec8f7401257a</t>
  </si>
  <si>
    <t>1. Verify target group arn:aws:elasticloadbalancing:us-east-1:608649261817:targetgroup/tz3-te-tz3te-VXWVRKBJCMO9/01afec8f7401257a has no active targets
2. Check for any load balancer associations
3. Remove target group from load balancers if needed
4. Delete the unused target group
5. Update documentation and monitoring</t>
  </si>
  <si>
    <t>arn:aws:elasticloadbalancing:us-east-1:608649261817:targetgroup/msvc-s-msvcs-AV68XH0YRHHH/a4a29575877a9747</t>
  </si>
  <si>
    <t>1. Verify target group arn:aws:elasticloadbalancing:us-east-1:608649261817:targetgroup/msvc-s-msvcs-AV68XH0YRHHH/a4a29575877a9747 has no active targets
2. Check for any load balancer associations
3. Remove target group from load balancers if needed
4. Delete the unused target group
5. Update documentation and monitoring</t>
  </si>
  <si>
    <t>arn:aws:elasticloadbalancing:us-east-1:608649261817:targetgroup/msvc-a-msvca-IADO8NVMW3HK/f840ba7862f28160</t>
  </si>
  <si>
    <t>1. Verify target group arn:aws:elasticloadbalancing:us-east-1:608649261817:targetgroup/msvc-a-msvca-IADO8NVMW3HK/f840ba7862f28160 has no active targets
2. Check for any load balancer associations
3. Remove target group from load balancers if needed
4. Delete the unused target group
5. Update documentation and monitoring</t>
  </si>
  <si>
    <t>arn:aws:elasticloadbalancing:us-east-1:608649261817:targetgroup/msvc-o-msvco-YXBADNJMUPMQ/02e7c4c46f69c507</t>
  </si>
  <si>
    <t>1. Verify target group arn:aws:elasticloadbalancing:us-east-1:608649261817:targetgroup/msvc-o-msvco-YXBADNJMUPMQ/02e7c4c46f69c507 has no active targets
2. Check for any load balancer associations
3. Remove target group from load balancers if needed
4. Delete the unused target group
5. Update documentation and monitoring</t>
  </si>
  <si>
    <t>arn:aws:elasticloadbalancing:us-east-1:608649261817:targetgroup/tz3-ps-tz3ps-OKFFAUAHJAW6/9bb990be92641d3a</t>
  </si>
  <si>
    <t>1. Verify target group arn:aws:elasticloadbalancing:us-east-1:608649261817:targetgroup/tz3-ps-tz3ps-OKFFAUAHJAW6/9bb990be92641d3a has no active targets
2. Check for any load balancer associations
3. Remove target group from load balancers if needed
4. Delete the unused target group
5. Update documentation and monitoring</t>
  </si>
  <si>
    <t>arn:aws:elasticloadbalancing:us-east-1:608649261817:targetgroup/msvc-b-msvcb-IJA7LMMIL7KL/654bd98f4de9d35b</t>
  </si>
  <si>
    <t>1. Verify target group arn:aws:elasticloadbalancing:us-east-1:608649261817:targetgroup/msvc-b-msvcb-IJA7LMMIL7KL/654bd98f4de9d35b has no active targets
2. Check for any load balancer associations
3. Remove target group from load balancers if needed
4. Delete the unused target group
5. Update documentation and monitoring</t>
  </si>
  <si>
    <t>arn:aws:elasticloadbalancing:us-east-1:608649261817:targetgroup/msvc-s-msvcs-0W3GXMODCKNG/073d25a8ec0eb192</t>
  </si>
  <si>
    <t>1. Verify target group arn:aws:elasticloadbalancing:us-east-1:608649261817:targetgroup/msvc-s-msvcs-0W3GXMODCKNG/073d25a8ec0eb192 has no active targets
2. Check for any load balancer associations
3. Remove target group from load balancers if needed
4. Delete the unused target group
5. Update documentation and monitoring</t>
  </si>
  <si>
    <t>arn:aws:elasticloadbalancing:us-east-1:608649261817:targetgroup/msvc-q-msvcq-V4M4MSJYZQBB/e18645660aadc1fb</t>
  </si>
  <si>
    <t>1. Verify target group arn:aws:elasticloadbalancing:us-east-1:608649261817:targetgroup/msvc-q-msvcq-V4M4MSJYZQBB/e18645660aadc1fb has no active targets
2. Check for any load balancer associations
3. Remove target group from load balancers if needed
4. Delete the unused target group
5. Update documentation and monitoring</t>
  </si>
  <si>
    <t>arn:aws:elasticloadbalancing:us-east-1:628002692261:targetgroup/tgTestWee/2ea10c1e0de22d60</t>
  </si>
  <si>
    <t>1. Verify target group arn:aws:elasticloadbalancing:us-east-1:628002692261:targetgroup/tgTestWee/2ea10c1e0de22d60 has no active targets
2. Check for any load balancer associations
3. Remove target group from load balancers if needed
4. Delete the unused target group
5. Update documentation and monitoring</t>
  </si>
  <si>
    <t>arn:aws:elasticloadbalancing:us-east-1:628002692261:targetgroup/testLambdaTG/201df778a952fa2f</t>
  </si>
  <si>
    <t>1. Verify target group arn:aws:elasticloadbalancing:us-east-1:628002692261:targetgroup/testLambdaTG/201df778a952fa2f has no active targets
2. Check for any load balancer associations
3. Remove target group from load balancers if needed
4. Delete the unused target group
5. Update documentation and monitoring</t>
  </si>
  <si>
    <t>arn:aws:elasticloadbalancing:us-east-1:628002692261:targetgroup/garyzcgroup/16fc8ffc92bc94cd</t>
  </si>
  <si>
    <t>1. Verify target group arn:aws:elasticloadbalancing:us-east-1:628002692261:targetgroup/garyzcgroup/16fc8ffc92bc94cd has no active targets
2. Check for any load balancer associations
3. Remove target group from load balancers if needed
4. Delete the unused target group
5. Update documentation and monitoring</t>
  </si>
  <si>
    <t>arn:aws:elasticloadbalancing:us-east-1:779846800024:targetgroup/anr-tranzact-mcp-mgmt-preprod/fdffdcafaca9c8e5</t>
  </si>
  <si>
    <t>1. Verify target group arn:aws:elasticloadbalancing:us-east-1:779846800024:targetgroup/anr-tranzact-mcp-mgmt-preprod/fdffdcafaca9c8e5 has no active targets
2. Check for any load balancer associations
3. Remove target group from load balancers if needed
4. Delete the unused target group
5. Update documentation and monitoring</t>
  </si>
  <si>
    <t>arn:aws:elasticloadbalancing:us-east-1:779846800024:targetgroup/anr-tranzact-mcp-srv-preprod/8260941704ca96c7</t>
  </si>
  <si>
    <t>1. Verify target group arn:aws:elasticloadbalancing:us-east-1:779846800024:targetgroup/anr-tranzact-mcp-srv-preprod/8260941704ca96c7 has no active targets
2. Check for any load balancer associations
3. Remove target group from load balancers if needed
4. Delete the unused target group
5. Update documentation and monitoring</t>
  </si>
  <si>
    <t>arn:aws:elasticloadbalancing:us-east-1:779846800024:targetgroup/agent-network-rfo-dev-green/0effaa870933f14a</t>
  </si>
  <si>
    <t>1. Verify target group arn:aws:elasticloadbalancing:us-east-1:779846800024:targetgroup/agent-network-rfo-dev-green/0effaa870933f14a has no active targets
2. Check for any load balancer associations
3. Remove target group from load balancers if needed
4. Delete the unused target group
5. Update documentation and monitoring</t>
  </si>
  <si>
    <t>arn:aws:elasticloadbalancing:us-east-1:779846800024:targetgroup/agent-network-rfo-dev-blue-tg/23a41e40e7b7f0f4</t>
  </si>
  <si>
    <t>1. Verify target group arn:aws:elasticloadbalancing:us-east-1:779846800024:targetgroup/agent-network-rfo-dev-blue-tg/23a41e40e7b7f0f4 has no active targets
2. Check for any load balancer associations
3. Remove target group from load balancers if needed
4. Delete the unused target group
5. Update documentation and monitoring</t>
  </si>
  <si>
    <t>arn:aws:elasticloadbalancing:us-east-1:779846800024:targetgroup/anr-tranzact-mcp-admin-preprod/64d8a623ad59058e</t>
  </si>
  <si>
    <t>1. Verify target group arn:aws:elasticloadbalancing:us-east-1:779846800024:targetgroup/anr-tranzact-mcp-admin-preprod/64d8a623ad59058e has no active targets
2. Check for any load balancer associations
3. Remove target group from load balancers if needed
4. Delete the unused target group
5. Update documentation and monitoring</t>
  </si>
  <si>
    <t>Total Orphan Resources</t>
  </si>
  <si>
    <t>Total Monthly Savings Potential</t>
  </si>
  <si>
    <t>Total Annual Savings Potential</t>
  </si>
  <si>
    <t>Number of AWS Accounts Affected</t>
  </si>
  <si>
    <t>Critical Priority Resources</t>
  </si>
  <si>
    <t>High Priority Resources</t>
  </si>
  <si>
    <t>Quick Win Opportunities (Low Risk, &gt;$10/month)</t>
  </si>
  <si>
    <t>Total Implementation Effort (Hours)</t>
  </si>
  <si>
    <t>Average Savings per Resource</t>
  </si>
  <si>
    <t>Resource_Count</t>
  </si>
  <si>
    <t>Total_Effort_Hours</t>
  </si>
  <si>
    <t>Phase</t>
  </si>
  <si>
    <t>Resources_Count</t>
  </si>
  <si>
    <t>Target_Date</t>
  </si>
  <si>
    <t>Key_Activities</t>
  </si>
  <si>
    <t>Remove unused EBS volumes, target groups, and low-risk load balancers</t>
  </si>
  <si>
    <t>Remove VPN gateways and transit gateway attachments with network team coordination</t>
  </si>
  <si>
    <t>PotentialSavings/Month ($)</t>
  </si>
  <si>
    <t>Phase 1 - Quick Gains (Week 1-2)</t>
  </si>
  <si>
    <t>Estimated_Effort_Hours (Hrs)</t>
  </si>
  <si>
    <t>Annual_Savings ($)</t>
  </si>
  <si>
    <t>Monthly_Savings ($)</t>
  </si>
  <si>
    <t>Effort_Hours (Hrs)</t>
  </si>
  <si>
    <t>Service Type</t>
  </si>
  <si>
    <t>Total/Dollar($)/Hrs.</t>
  </si>
  <si>
    <t>Metrics</t>
  </si>
  <si>
    <t>Monthly_Savings($)</t>
  </si>
  <si>
    <t>Annual_Savings($)</t>
  </si>
  <si>
    <t xml:space="preserve"> </t>
  </si>
  <si>
    <t>Rationale for Thresholds:</t>
  </si>
  <si>
    <t>$50+ threshold for Critical:** High-value resources requiring management approval</t>
  </si>
  <si>
    <t>$20-50 for High:** Significant monthly impact, worth prioritizing</t>
  </si>
  <si>
    <t>$5-20 for Medium:** Standard cleanup items with moderate savings</t>
  </si>
  <si>
    <t>&lt;$5 for Low:** Minimal financial impact, cleanup for operational hygiene</t>
  </si>
  <si>
    <t>$20-50 for High: Significant monthly impact, worth prioritizing</t>
  </si>
  <si>
    <t>$5-20 for Medium: Standard cleanup items with moderate savings</t>
  </si>
  <si>
    <t>&lt;$5 for Low:Minimal financial impact, cleanup for operational hygiene</t>
  </si>
  <si>
    <t>$50+ Threshold for Critical: High-value resources requiring management approval</t>
  </si>
  <si>
    <t>Comments</t>
  </si>
  <si>
    <t>PotentialSavings/Month($)</t>
  </si>
  <si>
    <t>DSS= Data Storage Service/Database Storage Service</t>
  </si>
  <si>
    <t>FM = Fleet Manager/File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</si>
</sst>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12" x14ac:knownFonts="1">
    <font>
      <sz val="11"/>
      <color theme="1"/>
      <name val="Calibri"/>
      <family val="2"/>
      <scheme val="minor"/>
    </font>
    <font>
      <b/>
      <sz val="11"/>
      <name val="Calibri"/>
      <family val="2"/>
    </font>
    <font>
      <b/>
      <sz val="11"/>
      <color theme="1"/>
      <name val="Calibri"/>
      <family val="2"/>
      <scheme val="minor"/>
    </font>
    <font>
      <b/>
      <sz val="11"/>
      <name val="Times New Roman"/>
      <family val="1"/>
    </font>
    <font>
      <sz val="11"/>
      <color theme="1"/>
      <name val="Times New Roman"/>
      <family val="1"/>
    </font>
    <font>
      <b/>
      <i/>
      <sz val="11"/>
      <color rgb="FF0070C0"/>
      <name val="Calibri"/>
      <family val="2"/>
      <scheme val="minor"/>
    </font>
    <font>
      <b/>
      <sz val="11"/>
      <color rgb="FF0070C0"/>
      <name val="Calibri"/>
      <family val="2"/>
      <scheme val="minor"/>
    </font>
    <font>
      <b/>
      <sz val="11"/>
      <color theme="1"/>
      <name val="Times New Roman"/>
      <family val="1"/>
    </font>
    <font>
      <b/>
      <sz val="11"/>
      <color rgb="FF0070C0"/>
      <name val="Times New Roman"/>
      <family val="1"/>
    </font>
    <font>
      <sz val="12"/>
      <color theme="1"/>
      <name val="Times New Roman"/>
      <family val="1"/>
    </font>
    <font>
      <b/>
      <sz val="12"/>
      <color rgb="FF0070C0"/>
      <name val="Times New Roman"/>
      <family val="1"/>
    </font>
    <font>
      <b/>
      <sz val="12"/>
      <name val="Times New Roman"/>
      <family val="1"/>
    </font>
  </fonts>
  <fills count="8">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8" tint="0.39997558519241921"/>
        <bgColor indexed="64"/>
      </patternFill>
    </fill>
  </fills>
  <borders count="3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style="thin">
        <color auto="1"/>
      </right>
      <top/>
      <bottom/>
      <diagonal/>
    </border>
    <border>
      <left style="thin">
        <color auto="1"/>
      </left>
      <right style="thin">
        <color auto="1"/>
      </right>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right/>
      <top style="medium">
        <color indexed="64"/>
      </top>
      <bottom style="thin">
        <color auto="1"/>
      </bottom>
      <diagonal/>
    </border>
    <border>
      <left style="thin">
        <color auto="1"/>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medium">
        <color indexed="64"/>
      </top>
      <bottom/>
      <diagonal/>
    </border>
  </borders>
  <cellStyleXfs count="1">
    <xf numFmtId="0" fontId="0" fillId="0" borderId="0"/>
  </cellStyleXfs>
  <cellXfs count="173">
    <xf numFmtId="0" fontId="0" fillId="0" borderId="0" xfId="0"/>
    <xf numFmtId="1" fontId="0" fillId="0" borderId="0" xfId="0" applyNumberFormat="1"/>
    <xf numFmtId="0" fontId="0" fillId="0" borderId="1" xfId="0" applyBorder="1" applyAlignment="1">
      <alignment horizontal="center"/>
    </xf>
    <xf numFmtId="0" fontId="4" fillId="0" borderId="1" xfId="0" applyFont="1" applyBorder="1" applyAlignment="1">
      <alignment horizontal="center" vertical="center"/>
    </xf>
    <xf numFmtId="0" fontId="4" fillId="0" borderId="6" xfId="0" applyFont="1" applyBorder="1" applyAlignment="1">
      <alignment horizontal="left" vertical="center"/>
    </xf>
    <xf numFmtId="0" fontId="4" fillId="0" borderId="7" xfId="0" applyFont="1" applyBorder="1" applyAlignment="1">
      <alignment horizontal="center" vertical="center"/>
    </xf>
    <xf numFmtId="0" fontId="4" fillId="0" borderId="8" xfId="0" applyFont="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4" fillId="0" borderId="0" xfId="0" applyFont="1" applyAlignment="1">
      <alignment vertical="center"/>
    </xf>
    <xf numFmtId="1" fontId="4" fillId="0" borderId="0" xfId="0" applyNumberFormat="1"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xf>
    <xf numFmtId="1" fontId="4" fillId="0" borderId="1" xfId="0" applyNumberFormat="1" applyFont="1" applyBorder="1" applyAlignment="1">
      <alignment horizontal="center" vertical="center"/>
    </xf>
    <xf numFmtId="1" fontId="4" fillId="0" borderId="12" xfId="0" applyNumberFormat="1" applyFont="1" applyBorder="1" applyAlignment="1">
      <alignment horizontal="center" vertical="center"/>
    </xf>
    <xf numFmtId="164" fontId="4" fillId="0" borderId="12" xfId="0" applyNumberFormat="1" applyFont="1" applyBorder="1" applyAlignment="1">
      <alignment horizontal="center" vertical="center"/>
    </xf>
    <xf numFmtId="1" fontId="4" fillId="0" borderId="9" xfId="0" applyNumberFormat="1" applyFont="1" applyBorder="1" applyAlignment="1">
      <alignment horizontal="center" vertical="center"/>
    </xf>
    <xf numFmtId="164" fontId="4" fillId="0" borderId="9" xfId="0" applyNumberFormat="1" applyFont="1" applyBorder="1" applyAlignment="1">
      <alignment horizontal="center" vertical="center"/>
    </xf>
    <xf numFmtId="0" fontId="3" fillId="3" borderId="17" xfId="0" applyFont="1" applyFill="1" applyBorder="1" applyAlignment="1">
      <alignment horizontal="center" vertical="center"/>
    </xf>
    <xf numFmtId="0" fontId="3" fillId="3" borderId="2" xfId="0" applyFont="1" applyFill="1" applyBorder="1" applyAlignment="1">
      <alignment horizontal="center" vertical="center"/>
    </xf>
    <xf numFmtId="1" fontId="3" fillId="3" borderId="18" xfId="0" applyNumberFormat="1" applyFont="1" applyFill="1" applyBorder="1" applyAlignment="1">
      <alignment horizontal="center" vertical="center"/>
    </xf>
    <xf numFmtId="0" fontId="3" fillId="3" borderId="18"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xf>
    <xf numFmtId="0" fontId="0" fillId="4" borderId="0" xfId="0" applyFill="1"/>
    <xf numFmtId="0" fontId="4" fillId="4" borderId="0" xfId="0" applyFont="1" applyFill="1" applyAlignment="1">
      <alignment vertical="center"/>
    </xf>
    <xf numFmtId="1" fontId="4" fillId="4" borderId="0" xfId="0" applyNumberFormat="1" applyFont="1" applyFill="1" applyAlignment="1">
      <alignment vertical="center"/>
    </xf>
    <xf numFmtId="0" fontId="4" fillId="4" borderId="0" xfId="0" applyFont="1" applyFill="1" applyAlignment="1">
      <alignment vertical="center" wrapText="1"/>
    </xf>
    <xf numFmtId="0" fontId="4" fillId="4" borderId="0" xfId="0" applyFont="1" applyFill="1" applyAlignment="1">
      <alignment horizontal="center" vertical="center"/>
    </xf>
    <xf numFmtId="0" fontId="4" fillId="0" borderId="20" xfId="0" applyFont="1" applyBorder="1" applyAlignment="1">
      <alignment vertical="center"/>
    </xf>
    <xf numFmtId="0" fontId="4" fillId="4" borderId="20" xfId="0" applyFont="1" applyFill="1" applyBorder="1" applyAlignment="1">
      <alignment vertical="center"/>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4" fillId="4" borderId="0" xfId="0" applyFont="1" applyFill="1" applyBorder="1" applyAlignment="1">
      <alignment vertical="center"/>
    </xf>
    <xf numFmtId="1" fontId="4" fillId="4" borderId="0" xfId="0" applyNumberFormat="1" applyFont="1" applyFill="1" applyBorder="1" applyAlignment="1">
      <alignment vertical="center"/>
    </xf>
    <xf numFmtId="0" fontId="4" fillId="4" borderId="0" xfId="0" applyFont="1" applyFill="1" applyBorder="1" applyAlignment="1">
      <alignment vertical="center" wrapText="1"/>
    </xf>
    <xf numFmtId="0" fontId="4" fillId="4" borderId="0" xfId="0" applyFont="1" applyFill="1" applyBorder="1" applyAlignment="1">
      <alignment horizontal="center" vertical="center"/>
    </xf>
    <xf numFmtId="0" fontId="4" fillId="0" borderId="12"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0" fillId="0" borderId="6" xfId="0" applyBorder="1" applyAlignment="1">
      <alignment vertical="center"/>
    </xf>
    <xf numFmtId="0" fontId="0" fillId="0" borderId="8" xfId="0" applyBorder="1" applyAlignment="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4" fillId="0" borderId="7" xfId="0" applyNumberFormat="1" applyFont="1" applyBorder="1" applyAlignment="1">
      <alignment horizontal="center" vertical="center"/>
    </xf>
    <xf numFmtId="8" fontId="4" fillId="0" borderId="7" xfId="0" applyNumberFormat="1" applyFont="1" applyBorder="1" applyAlignment="1">
      <alignment horizontal="center" vertical="center"/>
    </xf>
    <xf numFmtId="8" fontId="4" fillId="0" borderId="10" xfId="0" applyNumberFormat="1" applyFont="1" applyBorder="1" applyAlignment="1">
      <alignment horizontal="center" vertical="center"/>
    </xf>
    <xf numFmtId="0" fontId="3" fillId="5" borderId="14" xfId="0" applyFont="1" applyFill="1" applyBorder="1" applyAlignment="1">
      <alignment horizontal="center" vertical="center"/>
    </xf>
    <xf numFmtId="0" fontId="3" fillId="5" borderId="16" xfId="0" applyFont="1" applyFill="1" applyBorder="1" applyAlignment="1">
      <alignment horizontal="center" vertical="center"/>
    </xf>
    <xf numFmtId="0" fontId="1" fillId="0" borderId="4" xfId="0" applyFont="1" applyBorder="1" applyAlignment="1">
      <alignment horizontal="center" vertical="top"/>
    </xf>
    <xf numFmtId="0" fontId="0" fillId="0" borderId="6" xfId="0" applyBorder="1" applyAlignment="1"/>
    <xf numFmtId="0" fontId="0" fillId="0" borderId="7" xfId="0" applyBorder="1" applyAlignment="1">
      <alignment horizontal="center"/>
    </xf>
    <xf numFmtId="0" fontId="0" fillId="0" borderId="8" xfId="0" applyBorder="1" applyAlignment="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xf numFmtId="0" fontId="0" fillId="0" borderId="12" xfId="0" applyBorder="1" applyAlignment="1">
      <alignment horizontal="center"/>
    </xf>
    <xf numFmtId="0" fontId="0" fillId="0" borderId="13" xfId="0" applyBorder="1" applyAlignment="1">
      <alignment horizontal="center"/>
    </xf>
    <xf numFmtId="0" fontId="1" fillId="0" borderId="15" xfId="0" applyFont="1" applyBorder="1" applyAlignment="1">
      <alignment horizontal="center" vertical="top"/>
    </xf>
    <xf numFmtId="0" fontId="1" fillId="0" borderId="17" xfId="0" applyFont="1" applyBorder="1" applyAlignment="1">
      <alignment horizontal="center" vertical="top"/>
    </xf>
    <xf numFmtId="0" fontId="1" fillId="0" borderId="2" xfId="0" applyFont="1" applyBorder="1" applyAlignment="1">
      <alignment horizontal="center" vertical="top"/>
    </xf>
    <xf numFmtId="0" fontId="1" fillId="0" borderId="18" xfId="0" applyFont="1" applyBorder="1" applyAlignment="1">
      <alignment horizontal="center" vertical="top"/>
    </xf>
    <xf numFmtId="0" fontId="1" fillId="0" borderId="19" xfId="0" applyFont="1" applyBorder="1" applyAlignment="1">
      <alignment horizontal="center" vertical="top"/>
    </xf>
    <xf numFmtId="164" fontId="0" fillId="0" borderId="12" xfId="0" applyNumberFormat="1" applyBorder="1" applyAlignment="1">
      <alignment horizontal="center"/>
    </xf>
    <xf numFmtId="164" fontId="0" fillId="0" borderId="1" xfId="0" applyNumberFormat="1" applyBorder="1" applyAlignment="1">
      <alignment horizontal="center"/>
    </xf>
    <xf numFmtId="164" fontId="0" fillId="0" borderId="9" xfId="0" applyNumberFormat="1" applyBorder="1" applyAlignment="1">
      <alignment horizontal="center"/>
    </xf>
    <xf numFmtId="0" fontId="0" fillId="0" borderId="1" xfId="0" applyBorder="1" applyAlignment="1">
      <alignment horizontal="center" vertical="center"/>
    </xf>
    <xf numFmtId="0" fontId="0" fillId="0" borderId="9" xfId="0" applyBorder="1" applyAlignment="1">
      <alignment horizontal="center" vertical="center"/>
    </xf>
    <xf numFmtId="164" fontId="0" fillId="0" borderId="1" xfId="0" applyNumberFormat="1" applyBorder="1" applyAlignment="1">
      <alignment horizontal="center" vertical="center"/>
    </xf>
    <xf numFmtId="164" fontId="0" fillId="0" borderId="9" xfId="0" applyNumberFormat="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 fillId="7" borderId="14" xfId="0" applyFont="1" applyFill="1" applyBorder="1" applyAlignment="1">
      <alignment vertical="center"/>
    </xf>
    <xf numFmtId="0" fontId="1" fillId="7" borderId="15" xfId="0" applyFont="1" applyFill="1" applyBorder="1" applyAlignment="1">
      <alignment vertical="center"/>
    </xf>
    <xf numFmtId="0" fontId="1" fillId="7" borderId="16" xfId="0" applyFont="1" applyFill="1" applyBorder="1" applyAlignment="1">
      <alignment vertical="center"/>
    </xf>
    <xf numFmtId="164" fontId="0" fillId="0" borderId="12" xfId="0" applyNumberFormat="1" applyBorder="1" applyAlignment="1">
      <alignment horizontal="center" vertical="center"/>
    </xf>
    <xf numFmtId="0" fontId="0" fillId="4" borderId="20" xfId="0" applyFill="1" applyBorder="1"/>
    <xf numFmtId="0" fontId="0" fillId="4" borderId="21" xfId="0" applyFill="1" applyBorder="1"/>
    <xf numFmtId="0" fontId="0" fillId="4" borderId="2" xfId="0" applyFill="1" applyBorder="1"/>
    <xf numFmtId="0" fontId="5" fillId="4" borderId="2" xfId="0" applyFont="1" applyFill="1" applyBorder="1"/>
    <xf numFmtId="1" fontId="0" fillId="4" borderId="0" xfId="0" applyNumberFormat="1" applyFill="1"/>
    <xf numFmtId="1" fontId="0" fillId="0" borderId="6" xfId="0" applyNumberFormat="1" applyBorder="1" applyAlignment="1">
      <alignment horizontal="center"/>
    </xf>
    <xf numFmtId="1" fontId="0" fillId="0" borderId="8" xfId="0" applyNumberFormat="1" applyBorder="1" applyAlignment="1">
      <alignment horizontal="center"/>
    </xf>
    <xf numFmtId="1" fontId="0" fillId="0" borderId="11" xfId="0" applyNumberFormat="1" applyBorder="1" applyAlignment="1">
      <alignment horizontal="center"/>
    </xf>
    <xf numFmtId="1" fontId="1" fillId="0" borderId="14" xfId="0" applyNumberFormat="1" applyFont="1" applyBorder="1" applyAlignment="1">
      <alignment horizontal="center" vertical="top"/>
    </xf>
    <xf numFmtId="0" fontId="1" fillId="0" borderId="23" xfId="0" applyFont="1" applyBorder="1" applyAlignment="1">
      <alignment horizontal="center" vertical="top"/>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4" borderId="13" xfId="0" applyFill="1" applyBorder="1"/>
    <xf numFmtId="0" fontId="0" fillId="4" borderId="7" xfId="0" applyFill="1" applyBorder="1"/>
    <xf numFmtId="0" fontId="0" fillId="4" borderId="10" xfId="0" applyFill="1" applyBorder="1"/>
    <xf numFmtId="0" fontId="0" fillId="0" borderId="27"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xf>
    <xf numFmtId="0" fontId="0" fillId="0" borderId="31" xfId="0" applyBorder="1" applyAlignment="1">
      <alignment horizontal="center" vertical="center"/>
    </xf>
    <xf numFmtId="0" fontId="1" fillId="0" borderId="32" xfId="0" applyFont="1" applyBorder="1" applyAlignment="1">
      <alignment horizontal="center" vertical="top"/>
    </xf>
    <xf numFmtId="1" fontId="1" fillId="0" borderId="34" xfId="0" applyNumberFormat="1"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0" borderId="35" xfId="0" applyFont="1" applyBorder="1" applyAlignment="1">
      <alignment horizontal="center" vertical="top"/>
    </xf>
    <xf numFmtId="1" fontId="0" fillId="0" borderId="1" xfId="0" applyNumberFormat="1" applyBorder="1" applyAlignment="1">
      <alignment horizontal="center" vertical="center"/>
    </xf>
    <xf numFmtId="1" fontId="0" fillId="0" borderId="9" xfId="0" applyNumberFormat="1" applyBorder="1" applyAlignment="1">
      <alignment horizontal="center" vertical="center"/>
    </xf>
    <xf numFmtId="0" fontId="0" fillId="0" borderId="12" xfId="0"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1" fillId="0" borderId="36" xfId="0" applyFont="1" applyBorder="1" applyAlignment="1">
      <alignment horizontal="center" vertical="top"/>
    </xf>
    <xf numFmtId="0" fontId="0" fillId="0" borderId="31" xfId="0" applyBorder="1" applyAlignment="1">
      <alignment horizontal="center" vertical="center"/>
    </xf>
    <xf numFmtId="164" fontId="2" fillId="0" borderId="12" xfId="0" applyNumberFormat="1" applyFont="1" applyBorder="1" applyAlignment="1">
      <alignment horizontal="center" vertical="center"/>
    </xf>
    <xf numFmtId="164" fontId="6" fillId="0" borderId="12" xfId="0" applyNumberFormat="1" applyFont="1" applyBorder="1" applyAlignment="1">
      <alignment horizontal="center" vertical="center"/>
    </xf>
    <xf numFmtId="164" fontId="6" fillId="0" borderId="1" xfId="0" applyNumberFormat="1" applyFont="1" applyBorder="1" applyAlignment="1">
      <alignment horizontal="center" vertical="center"/>
    </xf>
    <xf numFmtId="164" fontId="6" fillId="0" borderId="9" xfId="0" applyNumberFormat="1" applyFont="1" applyBorder="1" applyAlignment="1">
      <alignment horizontal="center" vertical="center"/>
    </xf>
    <xf numFmtId="164" fontId="8" fillId="0" borderId="12" xfId="0" applyNumberFormat="1" applyFont="1" applyBorder="1" applyAlignment="1">
      <alignment horizontal="center" vertical="center"/>
    </xf>
    <xf numFmtId="164" fontId="8" fillId="0" borderId="1" xfId="0" applyNumberFormat="1" applyFont="1" applyBorder="1" applyAlignment="1">
      <alignment horizontal="center" vertical="center"/>
    </xf>
    <xf numFmtId="164" fontId="8" fillId="0" borderId="9" xfId="0" applyNumberFormat="1" applyFont="1" applyBorder="1" applyAlignment="1">
      <alignment horizontal="center" vertical="center"/>
    </xf>
    <xf numFmtId="0" fontId="7" fillId="0" borderId="3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164" fontId="2" fillId="0" borderId="12" xfId="0" applyNumberFormat="1" applyFont="1" applyBorder="1" applyAlignment="1">
      <alignment horizontal="center"/>
    </xf>
    <xf numFmtId="164" fontId="2" fillId="0" borderId="1" xfId="0" applyNumberFormat="1" applyFont="1" applyBorder="1" applyAlignment="1">
      <alignment horizontal="center"/>
    </xf>
    <xf numFmtId="164" fontId="2" fillId="0" borderId="9" xfId="0" applyNumberFormat="1" applyFont="1" applyBorder="1" applyAlignment="1">
      <alignment horizontal="center"/>
    </xf>
    <xf numFmtId="0" fontId="0" fillId="0" borderId="11" xfId="0" applyBorder="1" applyAlignment="1">
      <alignment horizontal="center" vertical="center"/>
    </xf>
    <xf numFmtId="0" fontId="9" fillId="4" borderId="0" xfId="0" applyFont="1" applyFill="1"/>
    <xf numFmtId="1" fontId="9" fillId="4" borderId="0" xfId="0" applyNumberFormat="1" applyFont="1" applyFill="1"/>
    <xf numFmtId="0" fontId="9" fillId="4" borderId="0" xfId="0" applyFont="1" applyFill="1" applyAlignment="1">
      <alignment horizontal="left"/>
    </xf>
    <xf numFmtId="164" fontId="9" fillId="4" borderId="0" xfId="0" applyNumberFormat="1" applyFont="1" applyFill="1"/>
    <xf numFmtId="0" fontId="10" fillId="4" borderId="0" xfId="0" applyFont="1" applyFill="1"/>
    <xf numFmtId="0" fontId="11" fillId="0" borderId="17" xfId="0" applyFont="1" applyBorder="1" applyAlignment="1">
      <alignment horizontal="center" vertical="center"/>
    </xf>
    <xf numFmtId="0" fontId="11" fillId="0" borderId="2" xfId="0" applyFont="1" applyBorder="1" applyAlignment="1">
      <alignment horizontal="center" vertical="center"/>
    </xf>
    <xf numFmtId="1" fontId="11" fillId="0" borderId="18" xfId="0" applyNumberFormat="1" applyFont="1" applyBorder="1" applyAlignment="1">
      <alignment horizontal="center" vertical="center"/>
    </xf>
    <xf numFmtId="0" fontId="11" fillId="0" borderId="18" xfId="0" applyFont="1" applyBorder="1" applyAlignment="1">
      <alignment horizontal="center" vertical="center"/>
    </xf>
    <xf numFmtId="164" fontId="11" fillId="0" borderId="2" xfId="0" applyNumberFormat="1" applyFont="1" applyBorder="1" applyAlignment="1">
      <alignment horizontal="center" vertical="center"/>
    </xf>
    <xf numFmtId="0" fontId="9" fillId="0" borderId="0" xfId="0" applyFont="1"/>
    <xf numFmtId="0" fontId="9" fillId="0" borderId="11" xfId="0" applyFont="1" applyBorder="1" applyAlignment="1">
      <alignment horizontal="center" vertical="center"/>
    </xf>
    <xf numFmtId="0" fontId="9" fillId="0" borderId="12" xfId="0" applyFont="1" applyBorder="1" applyAlignment="1">
      <alignment horizontal="center" vertical="center"/>
    </xf>
    <xf numFmtId="1" fontId="9" fillId="0" borderId="12" xfId="0" applyNumberFormat="1" applyFont="1" applyBorder="1" applyAlignment="1">
      <alignment horizontal="center" vertical="center"/>
    </xf>
    <xf numFmtId="0" fontId="9" fillId="0" borderId="12" xfId="0" applyFont="1" applyBorder="1" applyAlignment="1">
      <alignment horizontal="left" vertical="center"/>
    </xf>
    <xf numFmtId="164" fontId="10" fillId="0" borderId="12" xfId="0" applyNumberFormat="1" applyFont="1" applyBorder="1" applyAlignment="1">
      <alignment horizontal="center" vertical="center"/>
    </xf>
    <xf numFmtId="0" fontId="9" fillId="0" borderId="12" xfId="0" applyFont="1" applyBorder="1" applyAlignment="1">
      <alignment horizontal="left" vertical="center" wrapText="1"/>
    </xf>
    <xf numFmtId="0" fontId="9" fillId="0" borderId="13" xfId="0" applyFont="1" applyBorder="1" applyAlignment="1">
      <alignment horizontal="center" vertical="center"/>
    </xf>
    <xf numFmtId="0" fontId="9" fillId="0" borderId="6" xfId="0" applyFont="1" applyBorder="1" applyAlignment="1">
      <alignment horizontal="center" vertical="center"/>
    </xf>
    <xf numFmtId="0" fontId="9" fillId="0" borderId="1" xfId="0" applyFont="1" applyBorder="1" applyAlignment="1">
      <alignment horizontal="center" vertical="center"/>
    </xf>
    <xf numFmtId="1" fontId="9" fillId="0" borderId="1" xfId="0" applyNumberFormat="1" applyFont="1" applyBorder="1" applyAlignment="1">
      <alignment horizontal="center" vertical="center"/>
    </xf>
    <xf numFmtId="0" fontId="9" fillId="0" borderId="1" xfId="0" applyFont="1" applyBorder="1" applyAlignment="1">
      <alignment horizontal="left" vertical="center"/>
    </xf>
    <xf numFmtId="164" fontId="10" fillId="0" borderId="1" xfId="0" applyNumberFormat="1" applyFont="1" applyBorder="1" applyAlignment="1">
      <alignment horizontal="center" vertical="center"/>
    </xf>
    <xf numFmtId="0" fontId="9" fillId="0" borderId="1" xfId="0" applyFont="1" applyBorder="1" applyAlignment="1">
      <alignment horizontal="left"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1" fontId="9" fillId="0" borderId="9" xfId="0" applyNumberFormat="1" applyFont="1" applyBorder="1" applyAlignment="1">
      <alignment horizontal="center" vertical="center"/>
    </xf>
    <xf numFmtId="0" fontId="9" fillId="0" borderId="9" xfId="0" applyFont="1" applyBorder="1" applyAlignment="1">
      <alignment horizontal="left" vertical="center"/>
    </xf>
    <xf numFmtId="164" fontId="10" fillId="0" borderId="9" xfId="0" applyNumberFormat="1" applyFont="1" applyBorder="1" applyAlignment="1">
      <alignment horizontal="center" vertical="center"/>
    </xf>
    <xf numFmtId="0" fontId="9" fillId="0" borderId="9" xfId="0" applyFont="1" applyBorder="1" applyAlignment="1">
      <alignment horizontal="left" vertical="center" wrapText="1"/>
    </xf>
    <xf numFmtId="0" fontId="9" fillId="0" borderId="10" xfId="0" applyFont="1" applyBorder="1" applyAlignment="1">
      <alignment horizontal="center" vertical="center"/>
    </xf>
    <xf numFmtId="1" fontId="9" fillId="0" borderId="0" xfId="0" applyNumberFormat="1" applyFont="1"/>
    <xf numFmtId="0" fontId="9" fillId="0" borderId="0" xfId="0" applyFont="1" applyAlignment="1">
      <alignment horizontal="left"/>
    </xf>
    <xf numFmtId="164" fontId="9" fillId="0" borderId="0" xfId="0" applyNumberFormat="1" applyFont="1"/>
    <xf numFmtId="0" fontId="10" fillId="0" borderId="0" xfId="0" applyFont="1"/>
    <xf numFmtId="0" fontId="11" fillId="0" borderId="2" xfId="0" applyFont="1" applyBorder="1" applyAlignment="1">
      <alignment horizontal="center" vertical="center" wrapText="1"/>
    </xf>
    <xf numFmtId="0" fontId="9" fillId="4" borderId="0" xfId="0" applyFont="1" applyFill="1" applyAlignment="1">
      <alignment horizontal="left" wrapText="1"/>
    </xf>
    <xf numFmtId="0" fontId="9"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1"/>
  <sheetViews>
    <sheetView topLeftCell="L1" workbookViewId="0">
      <selection activeCell="R2" sqref="R2"/>
    </sheetView>
  </sheetViews>
  <sheetFormatPr defaultRowHeight="15.5" x14ac:dyDescent="0.35"/>
  <cols>
    <col min="1" max="1" width="8.7265625" style="134"/>
    <col min="2" max="2" width="17.453125" style="144" customWidth="1"/>
    <col min="3" max="3" width="22.36328125" style="144" customWidth="1"/>
    <col min="4" max="4" width="15.453125" style="166" bestFit="1" customWidth="1"/>
    <col min="5" max="5" width="50.453125" style="172" customWidth="1"/>
    <col min="6" max="6" width="16.81640625" style="144" customWidth="1"/>
    <col min="7" max="7" width="31.453125" style="144" bestFit="1" customWidth="1"/>
    <col min="8" max="8" width="73.1796875" style="167" bestFit="1" customWidth="1"/>
    <col min="9" max="9" width="29.7265625" style="168" customWidth="1"/>
    <col min="10" max="10" width="84.08984375" style="144" bestFit="1" customWidth="1"/>
    <col min="11" max="11" width="15.54296875" style="144" customWidth="1"/>
    <col min="12" max="12" width="38.81640625" style="144" bestFit="1" customWidth="1"/>
    <col min="13" max="13" width="15.453125" style="144" customWidth="1"/>
    <col min="14" max="14" width="17.36328125" style="144" customWidth="1"/>
    <col min="15" max="15" width="26.90625" style="144" customWidth="1"/>
    <col min="16" max="16" width="21.54296875" style="169" customWidth="1"/>
    <col min="17" max="17" width="80" style="167" customWidth="1"/>
    <col min="18" max="18" width="55.36328125" style="167" bestFit="1" customWidth="1"/>
    <col min="19" max="19" width="23.6328125" style="144" customWidth="1"/>
    <col min="20" max="16384" width="8.7265625" style="144"/>
  </cols>
  <sheetData>
    <row r="1" spans="2:19" s="134" customFormat="1" ht="16" thickBot="1" x14ac:dyDescent="0.4">
      <c r="D1" s="135"/>
      <c r="E1" s="171"/>
      <c r="H1" s="136"/>
      <c r="I1" s="137"/>
      <c r="P1" s="138"/>
      <c r="Q1" s="136"/>
      <c r="R1" s="136"/>
    </row>
    <row r="2" spans="2:19" ht="16" thickBot="1" x14ac:dyDescent="0.4">
      <c r="B2" s="139" t="s">
        <v>0</v>
      </c>
      <c r="C2" s="140" t="s">
        <v>1</v>
      </c>
      <c r="D2" s="141" t="s">
        <v>2</v>
      </c>
      <c r="E2" s="170" t="s">
        <v>3</v>
      </c>
      <c r="F2" s="142" t="s">
        <v>4</v>
      </c>
      <c r="G2" s="140" t="s">
        <v>5</v>
      </c>
      <c r="H2" s="142" t="s">
        <v>6</v>
      </c>
      <c r="I2" s="143" t="s">
        <v>440</v>
      </c>
      <c r="J2" s="140" t="s">
        <v>7</v>
      </c>
      <c r="K2" s="142" t="s">
        <v>8</v>
      </c>
      <c r="L2" s="140" t="s">
        <v>9</v>
      </c>
      <c r="M2" s="142" t="s">
        <v>10</v>
      </c>
      <c r="N2" s="140" t="s">
        <v>11</v>
      </c>
      <c r="O2" s="140" t="s">
        <v>12</v>
      </c>
      <c r="P2" s="140" t="s">
        <v>421</v>
      </c>
      <c r="Q2" s="140" t="s">
        <v>13</v>
      </c>
      <c r="R2" s="140" t="s">
        <v>14</v>
      </c>
      <c r="S2" s="140" t="s">
        <v>15</v>
      </c>
    </row>
    <row r="3" spans="2:19" ht="120" customHeight="1" x14ac:dyDescent="0.35">
      <c r="B3" s="145" t="s">
        <v>16</v>
      </c>
      <c r="C3" s="146" t="s">
        <v>16</v>
      </c>
      <c r="D3" s="147">
        <v>512542238830</v>
      </c>
      <c r="E3" s="150" t="s">
        <v>17</v>
      </c>
      <c r="F3" s="146" t="s">
        <v>18</v>
      </c>
      <c r="G3" s="146" t="s">
        <v>19</v>
      </c>
      <c r="H3" s="148" t="s">
        <v>20</v>
      </c>
      <c r="I3" s="149">
        <v>104.67</v>
      </c>
      <c r="J3" s="146" t="s">
        <v>21</v>
      </c>
      <c r="K3" s="146" t="s">
        <v>22</v>
      </c>
      <c r="L3" s="146" t="s">
        <v>23</v>
      </c>
      <c r="M3" s="146">
        <v>2</v>
      </c>
      <c r="N3" s="146" t="s">
        <v>24</v>
      </c>
      <c r="O3" s="146" t="s">
        <v>25</v>
      </c>
      <c r="P3" s="149">
        <f>(I3*12)</f>
        <v>1256.04</v>
      </c>
      <c r="Q3" s="150" t="s">
        <v>26</v>
      </c>
      <c r="R3" s="148" t="s">
        <v>27</v>
      </c>
      <c r="S3" s="151" t="s">
        <v>28</v>
      </c>
    </row>
    <row r="4" spans="2:19" ht="120" customHeight="1" x14ac:dyDescent="0.35">
      <c r="B4" s="152" t="s">
        <v>16</v>
      </c>
      <c r="C4" s="153" t="s">
        <v>16</v>
      </c>
      <c r="D4" s="154">
        <v>512542238830</v>
      </c>
      <c r="E4" s="157" t="s">
        <v>29</v>
      </c>
      <c r="F4" s="153" t="s">
        <v>30</v>
      </c>
      <c r="G4" s="153" t="s">
        <v>31</v>
      </c>
      <c r="H4" s="155" t="s">
        <v>32</v>
      </c>
      <c r="I4" s="156">
        <v>76.83</v>
      </c>
      <c r="J4" s="153" t="s">
        <v>33</v>
      </c>
      <c r="K4" s="153" t="s">
        <v>22</v>
      </c>
      <c r="L4" s="153" t="s">
        <v>23</v>
      </c>
      <c r="M4" s="153">
        <v>0.5</v>
      </c>
      <c r="N4" s="153" t="s">
        <v>34</v>
      </c>
      <c r="O4" s="153" t="s">
        <v>25</v>
      </c>
      <c r="P4" s="149">
        <f t="shared" ref="P4:P67" si="0">(I4*12)</f>
        <v>921.96</v>
      </c>
      <c r="Q4" s="157" t="s">
        <v>35</v>
      </c>
      <c r="R4" s="155" t="s">
        <v>36</v>
      </c>
      <c r="S4" s="158" t="s">
        <v>37</v>
      </c>
    </row>
    <row r="5" spans="2:19" ht="120" customHeight="1" x14ac:dyDescent="0.35">
      <c r="B5" s="152" t="s">
        <v>16</v>
      </c>
      <c r="C5" s="153" t="s">
        <v>16</v>
      </c>
      <c r="D5" s="154">
        <v>512542238830</v>
      </c>
      <c r="E5" s="157" t="s">
        <v>38</v>
      </c>
      <c r="F5" s="153" t="s">
        <v>18</v>
      </c>
      <c r="G5" s="153" t="s">
        <v>19</v>
      </c>
      <c r="H5" s="155" t="s">
        <v>20</v>
      </c>
      <c r="I5" s="156">
        <v>46.38</v>
      </c>
      <c r="J5" s="153" t="s">
        <v>21</v>
      </c>
      <c r="K5" s="153" t="s">
        <v>39</v>
      </c>
      <c r="L5" s="153" t="s">
        <v>23</v>
      </c>
      <c r="M5" s="153">
        <v>2</v>
      </c>
      <c r="N5" s="153" t="s">
        <v>24</v>
      </c>
      <c r="O5" s="153" t="s">
        <v>25</v>
      </c>
      <c r="P5" s="149">
        <f t="shared" si="0"/>
        <v>556.56000000000006</v>
      </c>
      <c r="Q5" s="157" t="s">
        <v>40</v>
      </c>
      <c r="R5" s="155" t="s">
        <v>41</v>
      </c>
      <c r="S5" s="158" t="s">
        <v>28</v>
      </c>
    </row>
    <row r="6" spans="2:19" ht="120" customHeight="1" x14ac:dyDescent="0.35">
      <c r="B6" s="152" t="s">
        <v>16</v>
      </c>
      <c r="C6" s="153" t="s">
        <v>16</v>
      </c>
      <c r="D6" s="154">
        <v>608649261817</v>
      </c>
      <c r="E6" s="157" t="s">
        <v>42</v>
      </c>
      <c r="F6" s="153" t="s">
        <v>30</v>
      </c>
      <c r="G6" s="153" t="s">
        <v>31</v>
      </c>
      <c r="H6" s="155" t="s">
        <v>32</v>
      </c>
      <c r="I6" s="156">
        <v>19.21</v>
      </c>
      <c r="J6" s="153" t="s">
        <v>33</v>
      </c>
      <c r="K6" s="153" t="s">
        <v>24</v>
      </c>
      <c r="L6" s="153" t="s">
        <v>23</v>
      </c>
      <c r="M6" s="153">
        <v>0.5</v>
      </c>
      <c r="N6" s="153" t="s">
        <v>34</v>
      </c>
      <c r="O6" s="153" t="s">
        <v>25</v>
      </c>
      <c r="P6" s="149">
        <f t="shared" si="0"/>
        <v>230.52</v>
      </c>
      <c r="Q6" s="157" t="s">
        <v>43</v>
      </c>
      <c r="R6" s="155" t="s">
        <v>44</v>
      </c>
      <c r="S6" s="158" t="s">
        <v>37</v>
      </c>
    </row>
    <row r="7" spans="2:19" ht="120" customHeight="1" x14ac:dyDescent="0.35">
      <c r="B7" s="152" t="s">
        <v>16</v>
      </c>
      <c r="C7" s="153" t="s">
        <v>16</v>
      </c>
      <c r="D7" s="154">
        <v>608649261817</v>
      </c>
      <c r="E7" s="157" t="s">
        <v>42</v>
      </c>
      <c r="F7" s="153" t="s">
        <v>30</v>
      </c>
      <c r="G7" s="153" t="s">
        <v>31</v>
      </c>
      <c r="H7" s="155" t="s">
        <v>32</v>
      </c>
      <c r="I7" s="156">
        <v>19.21</v>
      </c>
      <c r="J7" s="153" t="s">
        <v>33</v>
      </c>
      <c r="K7" s="153" t="s">
        <v>24</v>
      </c>
      <c r="L7" s="153" t="s">
        <v>23</v>
      </c>
      <c r="M7" s="153">
        <v>0.5</v>
      </c>
      <c r="N7" s="153" t="s">
        <v>34</v>
      </c>
      <c r="O7" s="153" t="s">
        <v>25</v>
      </c>
      <c r="P7" s="149">
        <f t="shared" si="0"/>
        <v>230.52</v>
      </c>
      <c r="Q7" s="157" t="s">
        <v>43</v>
      </c>
      <c r="R7" s="155" t="s">
        <v>44</v>
      </c>
      <c r="S7" s="158" t="s">
        <v>37</v>
      </c>
    </row>
    <row r="8" spans="2:19" ht="120" customHeight="1" x14ac:dyDescent="0.35">
      <c r="B8" s="152" t="s">
        <v>16</v>
      </c>
      <c r="C8" s="153" t="s">
        <v>16</v>
      </c>
      <c r="D8" s="154">
        <v>608649261817</v>
      </c>
      <c r="E8" s="157" t="s">
        <v>42</v>
      </c>
      <c r="F8" s="153" t="s">
        <v>30</v>
      </c>
      <c r="G8" s="153" t="s">
        <v>31</v>
      </c>
      <c r="H8" s="155" t="s">
        <v>32</v>
      </c>
      <c r="I8" s="156">
        <v>19.21</v>
      </c>
      <c r="J8" s="153" t="s">
        <v>33</v>
      </c>
      <c r="K8" s="153" t="s">
        <v>24</v>
      </c>
      <c r="L8" s="153" t="s">
        <v>23</v>
      </c>
      <c r="M8" s="153">
        <v>0.5</v>
      </c>
      <c r="N8" s="153" t="s">
        <v>34</v>
      </c>
      <c r="O8" s="153" t="s">
        <v>25</v>
      </c>
      <c r="P8" s="149">
        <f t="shared" si="0"/>
        <v>230.52</v>
      </c>
      <c r="Q8" s="157" t="s">
        <v>43</v>
      </c>
      <c r="R8" s="155" t="s">
        <v>44</v>
      </c>
      <c r="S8" s="158" t="s">
        <v>37</v>
      </c>
    </row>
    <row r="9" spans="2:19" ht="120" customHeight="1" x14ac:dyDescent="0.35">
      <c r="B9" s="152" t="s">
        <v>16</v>
      </c>
      <c r="C9" s="153" t="s">
        <v>16</v>
      </c>
      <c r="D9" s="154">
        <v>608649261817</v>
      </c>
      <c r="E9" s="157" t="s">
        <v>42</v>
      </c>
      <c r="F9" s="153" t="s">
        <v>30</v>
      </c>
      <c r="G9" s="153" t="s">
        <v>31</v>
      </c>
      <c r="H9" s="155" t="s">
        <v>32</v>
      </c>
      <c r="I9" s="156">
        <v>19.21</v>
      </c>
      <c r="J9" s="153" t="s">
        <v>33</v>
      </c>
      <c r="K9" s="153" t="s">
        <v>24</v>
      </c>
      <c r="L9" s="153" t="s">
        <v>23</v>
      </c>
      <c r="M9" s="153">
        <v>0.5</v>
      </c>
      <c r="N9" s="153" t="s">
        <v>34</v>
      </c>
      <c r="O9" s="153" t="s">
        <v>25</v>
      </c>
      <c r="P9" s="149">
        <f t="shared" si="0"/>
        <v>230.52</v>
      </c>
      <c r="Q9" s="157" t="s">
        <v>43</v>
      </c>
      <c r="R9" s="155" t="s">
        <v>44</v>
      </c>
      <c r="S9" s="158" t="s">
        <v>37</v>
      </c>
    </row>
    <row r="10" spans="2:19" ht="120" customHeight="1" x14ac:dyDescent="0.35">
      <c r="B10" s="152" t="s">
        <v>16</v>
      </c>
      <c r="C10" s="153" t="s">
        <v>16</v>
      </c>
      <c r="D10" s="154">
        <v>608649261817</v>
      </c>
      <c r="E10" s="157" t="s">
        <v>42</v>
      </c>
      <c r="F10" s="153" t="s">
        <v>30</v>
      </c>
      <c r="G10" s="153" t="s">
        <v>31</v>
      </c>
      <c r="H10" s="155" t="s">
        <v>32</v>
      </c>
      <c r="I10" s="156">
        <v>18.559999999999999</v>
      </c>
      <c r="J10" s="153" t="s">
        <v>33</v>
      </c>
      <c r="K10" s="153" t="s">
        <v>24</v>
      </c>
      <c r="L10" s="153" t="s">
        <v>23</v>
      </c>
      <c r="M10" s="153">
        <v>0.5</v>
      </c>
      <c r="N10" s="153" t="s">
        <v>34</v>
      </c>
      <c r="O10" s="153" t="s">
        <v>25</v>
      </c>
      <c r="P10" s="149">
        <f t="shared" si="0"/>
        <v>222.71999999999997</v>
      </c>
      <c r="Q10" s="157" t="s">
        <v>43</v>
      </c>
      <c r="R10" s="155" t="s">
        <v>44</v>
      </c>
      <c r="S10" s="158" t="s">
        <v>37</v>
      </c>
    </row>
    <row r="11" spans="2:19" ht="120" customHeight="1" x14ac:dyDescent="0.35">
      <c r="B11" s="152" t="s">
        <v>16</v>
      </c>
      <c r="C11" s="153" t="s">
        <v>16</v>
      </c>
      <c r="D11" s="154">
        <v>608649261817</v>
      </c>
      <c r="E11" s="157" t="s">
        <v>42</v>
      </c>
      <c r="F11" s="153" t="s">
        <v>30</v>
      </c>
      <c r="G11" s="153" t="s">
        <v>31</v>
      </c>
      <c r="H11" s="155" t="s">
        <v>32</v>
      </c>
      <c r="I11" s="156">
        <v>18.559999999999999</v>
      </c>
      <c r="J11" s="153" t="s">
        <v>33</v>
      </c>
      <c r="K11" s="153" t="s">
        <v>24</v>
      </c>
      <c r="L11" s="153" t="s">
        <v>23</v>
      </c>
      <c r="M11" s="153">
        <v>0.5</v>
      </c>
      <c r="N11" s="153" t="s">
        <v>34</v>
      </c>
      <c r="O11" s="153" t="s">
        <v>25</v>
      </c>
      <c r="P11" s="149">
        <f t="shared" si="0"/>
        <v>222.71999999999997</v>
      </c>
      <c r="Q11" s="157" t="s">
        <v>43</v>
      </c>
      <c r="R11" s="155" t="s">
        <v>44</v>
      </c>
      <c r="S11" s="158" t="s">
        <v>37</v>
      </c>
    </row>
    <row r="12" spans="2:19" ht="120" customHeight="1" x14ac:dyDescent="0.35">
      <c r="B12" s="152" t="s">
        <v>16</v>
      </c>
      <c r="C12" s="153" t="s">
        <v>16</v>
      </c>
      <c r="D12" s="154">
        <v>608649261817</v>
      </c>
      <c r="E12" s="157" t="s">
        <v>42</v>
      </c>
      <c r="F12" s="153" t="s">
        <v>30</v>
      </c>
      <c r="G12" s="153" t="s">
        <v>31</v>
      </c>
      <c r="H12" s="155" t="s">
        <v>32</v>
      </c>
      <c r="I12" s="156">
        <v>18.559999999999999</v>
      </c>
      <c r="J12" s="153" t="s">
        <v>33</v>
      </c>
      <c r="K12" s="153" t="s">
        <v>24</v>
      </c>
      <c r="L12" s="153" t="s">
        <v>23</v>
      </c>
      <c r="M12" s="153">
        <v>0.5</v>
      </c>
      <c r="N12" s="153" t="s">
        <v>34</v>
      </c>
      <c r="O12" s="153" t="s">
        <v>25</v>
      </c>
      <c r="P12" s="149">
        <f t="shared" si="0"/>
        <v>222.71999999999997</v>
      </c>
      <c r="Q12" s="157" t="s">
        <v>43</v>
      </c>
      <c r="R12" s="155" t="s">
        <v>44</v>
      </c>
      <c r="S12" s="158" t="s">
        <v>37</v>
      </c>
    </row>
    <row r="13" spans="2:19" ht="120" customHeight="1" x14ac:dyDescent="0.35">
      <c r="B13" s="152" t="s">
        <v>16</v>
      </c>
      <c r="C13" s="153" t="s">
        <v>16</v>
      </c>
      <c r="D13" s="154">
        <v>277391387317</v>
      </c>
      <c r="E13" s="157" t="s">
        <v>45</v>
      </c>
      <c r="F13" s="153" t="s">
        <v>18</v>
      </c>
      <c r="G13" s="153" t="s">
        <v>19</v>
      </c>
      <c r="H13" s="155" t="s">
        <v>20</v>
      </c>
      <c r="I13" s="156">
        <v>17.61</v>
      </c>
      <c r="J13" s="153" t="s">
        <v>21</v>
      </c>
      <c r="K13" s="153" t="s">
        <v>24</v>
      </c>
      <c r="L13" s="153" t="s">
        <v>23</v>
      </c>
      <c r="M13" s="153">
        <v>2</v>
      </c>
      <c r="N13" s="153" t="s">
        <v>24</v>
      </c>
      <c r="O13" s="153" t="s">
        <v>25</v>
      </c>
      <c r="P13" s="149">
        <f t="shared" si="0"/>
        <v>211.32</v>
      </c>
      <c r="Q13" s="157" t="s">
        <v>46</v>
      </c>
      <c r="R13" s="155" t="s">
        <v>47</v>
      </c>
      <c r="S13" s="158" t="s">
        <v>28</v>
      </c>
    </row>
    <row r="14" spans="2:19" ht="120" customHeight="1" x14ac:dyDescent="0.35">
      <c r="B14" s="152" t="s">
        <v>16</v>
      </c>
      <c r="C14" s="153" t="s">
        <v>16</v>
      </c>
      <c r="D14" s="154">
        <v>277391387317</v>
      </c>
      <c r="E14" s="157" t="s">
        <v>48</v>
      </c>
      <c r="F14" s="153" t="s">
        <v>18</v>
      </c>
      <c r="G14" s="153" t="s">
        <v>19</v>
      </c>
      <c r="H14" s="155" t="s">
        <v>20</v>
      </c>
      <c r="I14" s="156">
        <v>17.600000000000001</v>
      </c>
      <c r="J14" s="153" t="s">
        <v>21</v>
      </c>
      <c r="K14" s="153" t="s">
        <v>24</v>
      </c>
      <c r="L14" s="153" t="s">
        <v>23</v>
      </c>
      <c r="M14" s="153">
        <v>2</v>
      </c>
      <c r="N14" s="153" t="s">
        <v>24</v>
      </c>
      <c r="O14" s="153" t="s">
        <v>25</v>
      </c>
      <c r="P14" s="149">
        <f t="shared" si="0"/>
        <v>211.20000000000002</v>
      </c>
      <c r="Q14" s="157" t="s">
        <v>49</v>
      </c>
      <c r="R14" s="155" t="s">
        <v>47</v>
      </c>
      <c r="S14" s="158" t="s">
        <v>28</v>
      </c>
    </row>
    <row r="15" spans="2:19" ht="120" customHeight="1" x14ac:dyDescent="0.35">
      <c r="B15" s="152" t="s">
        <v>16</v>
      </c>
      <c r="C15" s="153" t="s">
        <v>16</v>
      </c>
      <c r="D15" s="154">
        <v>419135461434</v>
      </c>
      <c r="E15" s="157" t="s">
        <v>50</v>
      </c>
      <c r="F15" s="153" t="s">
        <v>18</v>
      </c>
      <c r="G15" s="153" t="s">
        <v>19</v>
      </c>
      <c r="H15" s="155" t="s">
        <v>20</v>
      </c>
      <c r="I15" s="156">
        <v>17.52</v>
      </c>
      <c r="J15" s="153" t="s">
        <v>21</v>
      </c>
      <c r="K15" s="153" t="s">
        <v>24</v>
      </c>
      <c r="L15" s="153" t="s">
        <v>23</v>
      </c>
      <c r="M15" s="153">
        <v>2</v>
      </c>
      <c r="N15" s="153" t="s">
        <v>24</v>
      </c>
      <c r="O15" s="153" t="s">
        <v>25</v>
      </c>
      <c r="P15" s="149">
        <f t="shared" si="0"/>
        <v>210.24</v>
      </c>
      <c r="Q15" s="157" t="s">
        <v>51</v>
      </c>
      <c r="R15" s="155" t="s">
        <v>47</v>
      </c>
      <c r="S15" s="158" t="s">
        <v>28</v>
      </c>
    </row>
    <row r="16" spans="2:19" ht="120" customHeight="1" x14ac:dyDescent="0.35">
      <c r="B16" s="152" t="s">
        <v>16</v>
      </c>
      <c r="C16" s="153" t="s">
        <v>16</v>
      </c>
      <c r="D16" s="154">
        <v>419135461434</v>
      </c>
      <c r="E16" s="157" t="s">
        <v>52</v>
      </c>
      <c r="F16" s="153" t="s">
        <v>18</v>
      </c>
      <c r="G16" s="153" t="s">
        <v>19</v>
      </c>
      <c r="H16" s="155" t="s">
        <v>20</v>
      </c>
      <c r="I16" s="156">
        <v>17.5</v>
      </c>
      <c r="J16" s="153" t="s">
        <v>21</v>
      </c>
      <c r="K16" s="153" t="s">
        <v>24</v>
      </c>
      <c r="L16" s="153" t="s">
        <v>23</v>
      </c>
      <c r="M16" s="153">
        <v>2</v>
      </c>
      <c r="N16" s="153" t="s">
        <v>24</v>
      </c>
      <c r="O16" s="153" t="s">
        <v>25</v>
      </c>
      <c r="P16" s="149">
        <f t="shared" si="0"/>
        <v>210</v>
      </c>
      <c r="Q16" s="157" t="s">
        <v>53</v>
      </c>
      <c r="R16" s="155" t="s">
        <v>47</v>
      </c>
      <c r="S16" s="158" t="s">
        <v>28</v>
      </c>
    </row>
    <row r="17" spans="2:19" ht="120" customHeight="1" x14ac:dyDescent="0.35">
      <c r="B17" s="152" t="s">
        <v>16</v>
      </c>
      <c r="C17" s="153" t="s">
        <v>16</v>
      </c>
      <c r="D17" s="154">
        <v>419135461434</v>
      </c>
      <c r="E17" s="157" t="s">
        <v>54</v>
      </c>
      <c r="F17" s="153" t="s">
        <v>18</v>
      </c>
      <c r="G17" s="153" t="s">
        <v>19</v>
      </c>
      <c r="H17" s="155" t="s">
        <v>20</v>
      </c>
      <c r="I17" s="156">
        <v>16.62</v>
      </c>
      <c r="J17" s="153" t="s">
        <v>21</v>
      </c>
      <c r="K17" s="153" t="s">
        <v>24</v>
      </c>
      <c r="L17" s="153" t="s">
        <v>23</v>
      </c>
      <c r="M17" s="153">
        <v>2</v>
      </c>
      <c r="N17" s="153" t="s">
        <v>24</v>
      </c>
      <c r="O17" s="153" t="s">
        <v>25</v>
      </c>
      <c r="P17" s="149">
        <f t="shared" si="0"/>
        <v>199.44</v>
      </c>
      <c r="Q17" s="157" t="s">
        <v>55</v>
      </c>
      <c r="R17" s="155" t="s">
        <v>47</v>
      </c>
      <c r="S17" s="158" t="s">
        <v>28</v>
      </c>
    </row>
    <row r="18" spans="2:19" ht="120" customHeight="1" x14ac:dyDescent="0.35">
      <c r="B18" s="152" t="s">
        <v>16</v>
      </c>
      <c r="C18" s="153" t="s">
        <v>16</v>
      </c>
      <c r="D18" s="154">
        <v>419135461434</v>
      </c>
      <c r="E18" s="157" t="s">
        <v>56</v>
      </c>
      <c r="F18" s="153" t="s">
        <v>18</v>
      </c>
      <c r="G18" s="153" t="s">
        <v>19</v>
      </c>
      <c r="H18" s="155" t="s">
        <v>20</v>
      </c>
      <c r="I18" s="156">
        <v>16.57</v>
      </c>
      <c r="J18" s="153" t="s">
        <v>21</v>
      </c>
      <c r="K18" s="153" t="s">
        <v>24</v>
      </c>
      <c r="L18" s="153" t="s">
        <v>23</v>
      </c>
      <c r="M18" s="153">
        <v>2</v>
      </c>
      <c r="N18" s="153" t="s">
        <v>24</v>
      </c>
      <c r="O18" s="153" t="s">
        <v>25</v>
      </c>
      <c r="P18" s="149">
        <f t="shared" si="0"/>
        <v>198.84</v>
      </c>
      <c r="Q18" s="157" t="s">
        <v>57</v>
      </c>
      <c r="R18" s="155" t="s">
        <v>47</v>
      </c>
      <c r="S18" s="158" t="s">
        <v>28</v>
      </c>
    </row>
    <row r="19" spans="2:19" ht="120" customHeight="1" x14ac:dyDescent="0.35">
      <c r="B19" s="152" t="s">
        <v>16</v>
      </c>
      <c r="C19" s="153" t="s">
        <v>16</v>
      </c>
      <c r="D19" s="154">
        <v>419135461434</v>
      </c>
      <c r="E19" s="157" t="s">
        <v>58</v>
      </c>
      <c r="F19" s="153" t="s">
        <v>18</v>
      </c>
      <c r="G19" s="153" t="s">
        <v>19</v>
      </c>
      <c r="H19" s="155" t="s">
        <v>20</v>
      </c>
      <c r="I19" s="156">
        <v>16.41</v>
      </c>
      <c r="J19" s="153" t="s">
        <v>21</v>
      </c>
      <c r="K19" s="153" t="s">
        <v>24</v>
      </c>
      <c r="L19" s="153" t="s">
        <v>23</v>
      </c>
      <c r="M19" s="153">
        <v>2</v>
      </c>
      <c r="N19" s="153" t="s">
        <v>24</v>
      </c>
      <c r="O19" s="153" t="s">
        <v>25</v>
      </c>
      <c r="P19" s="149">
        <f t="shared" si="0"/>
        <v>196.92000000000002</v>
      </c>
      <c r="Q19" s="157" t="s">
        <v>59</v>
      </c>
      <c r="R19" s="155" t="s">
        <v>47</v>
      </c>
      <c r="S19" s="158" t="s">
        <v>28</v>
      </c>
    </row>
    <row r="20" spans="2:19" ht="120" customHeight="1" x14ac:dyDescent="0.35">
      <c r="B20" s="152" t="s">
        <v>16</v>
      </c>
      <c r="C20" s="153" t="s">
        <v>16</v>
      </c>
      <c r="D20" s="154">
        <v>295451572584</v>
      </c>
      <c r="E20" s="157" t="s">
        <v>60</v>
      </c>
      <c r="F20" s="153" t="s">
        <v>18</v>
      </c>
      <c r="G20" s="153" t="s">
        <v>19</v>
      </c>
      <c r="H20" s="155" t="s">
        <v>20</v>
      </c>
      <c r="I20" s="156">
        <v>16.100000000000001</v>
      </c>
      <c r="J20" s="153" t="s">
        <v>21</v>
      </c>
      <c r="K20" s="153" t="s">
        <v>24</v>
      </c>
      <c r="L20" s="153" t="s">
        <v>23</v>
      </c>
      <c r="M20" s="153">
        <v>2</v>
      </c>
      <c r="N20" s="153" t="s">
        <v>24</v>
      </c>
      <c r="O20" s="153" t="s">
        <v>25</v>
      </c>
      <c r="P20" s="149">
        <f t="shared" si="0"/>
        <v>193.20000000000002</v>
      </c>
      <c r="Q20" s="157" t="s">
        <v>61</v>
      </c>
      <c r="R20" s="155" t="s">
        <v>47</v>
      </c>
      <c r="S20" s="158" t="s">
        <v>28</v>
      </c>
    </row>
    <row r="21" spans="2:19" ht="120" customHeight="1" x14ac:dyDescent="0.35">
      <c r="B21" s="152" t="s">
        <v>16</v>
      </c>
      <c r="C21" s="153" t="s">
        <v>16</v>
      </c>
      <c r="D21" s="154">
        <v>277391387317</v>
      </c>
      <c r="E21" s="157" t="s">
        <v>62</v>
      </c>
      <c r="F21" s="153" t="s">
        <v>18</v>
      </c>
      <c r="G21" s="153" t="s">
        <v>19</v>
      </c>
      <c r="H21" s="155" t="s">
        <v>20</v>
      </c>
      <c r="I21" s="156">
        <v>16.03</v>
      </c>
      <c r="J21" s="153" t="s">
        <v>21</v>
      </c>
      <c r="K21" s="153" t="s">
        <v>24</v>
      </c>
      <c r="L21" s="153" t="s">
        <v>23</v>
      </c>
      <c r="M21" s="153">
        <v>2</v>
      </c>
      <c r="N21" s="153" t="s">
        <v>24</v>
      </c>
      <c r="O21" s="153" t="s">
        <v>25</v>
      </c>
      <c r="P21" s="149">
        <f t="shared" si="0"/>
        <v>192.36</v>
      </c>
      <c r="Q21" s="157" t="s">
        <v>63</v>
      </c>
      <c r="R21" s="155" t="s">
        <v>47</v>
      </c>
      <c r="S21" s="158" t="s">
        <v>28</v>
      </c>
    </row>
    <row r="22" spans="2:19" ht="120" customHeight="1" x14ac:dyDescent="0.35">
      <c r="B22" s="152" t="s">
        <v>16</v>
      </c>
      <c r="C22" s="153" t="s">
        <v>16</v>
      </c>
      <c r="D22" s="154">
        <v>277391387317</v>
      </c>
      <c r="E22" s="157" t="s">
        <v>64</v>
      </c>
      <c r="F22" s="153" t="s">
        <v>18</v>
      </c>
      <c r="G22" s="153" t="s">
        <v>19</v>
      </c>
      <c r="H22" s="155" t="s">
        <v>20</v>
      </c>
      <c r="I22" s="156">
        <v>16.03</v>
      </c>
      <c r="J22" s="153" t="s">
        <v>21</v>
      </c>
      <c r="K22" s="153" t="s">
        <v>24</v>
      </c>
      <c r="L22" s="153" t="s">
        <v>23</v>
      </c>
      <c r="M22" s="153">
        <v>2</v>
      </c>
      <c r="N22" s="153" t="s">
        <v>24</v>
      </c>
      <c r="O22" s="153" t="s">
        <v>25</v>
      </c>
      <c r="P22" s="149">
        <f t="shared" si="0"/>
        <v>192.36</v>
      </c>
      <c r="Q22" s="157" t="s">
        <v>65</v>
      </c>
      <c r="R22" s="155" t="s">
        <v>47</v>
      </c>
      <c r="S22" s="158" t="s">
        <v>28</v>
      </c>
    </row>
    <row r="23" spans="2:19" ht="120" customHeight="1" x14ac:dyDescent="0.35">
      <c r="B23" s="152" t="s">
        <v>16</v>
      </c>
      <c r="C23" s="153" t="s">
        <v>16</v>
      </c>
      <c r="D23" s="154">
        <v>295451572584</v>
      </c>
      <c r="E23" s="157" t="s">
        <v>66</v>
      </c>
      <c r="F23" s="153" t="s">
        <v>18</v>
      </c>
      <c r="G23" s="153" t="s">
        <v>19</v>
      </c>
      <c r="H23" s="155" t="s">
        <v>20</v>
      </c>
      <c r="I23" s="156">
        <v>16.03</v>
      </c>
      <c r="J23" s="153" t="s">
        <v>21</v>
      </c>
      <c r="K23" s="153" t="s">
        <v>24</v>
      </c>
      <c r="L23" s="153" t="s">
        <v>23</v>
      </c>
      <c r="M23" s="153">
        <v>2</v>
      </c>
      <c r="N23" s="153" t="s">
        <v>24</v>
      </c>
      <c r="O23" s="153" t="s">
        <v>25</v>
      </c>
      <c r="P23" s="149">
        <f t="shared" si="0"/>
        <v>192.36</v>
      </c>
      <c r="Q23" s="157" t="s">
        <v>67</v>
      </c>
      <c r="R23" s="155" t="s">
        <v>47</v>
      </c>
      <c r="S23" s="158" t="s">
        <v>28</v>
      </c>
    </row>
    <row r="24" spans="2:19" ht="120" customHeight="1" x14ac:dyDescent="0.35">
      <c r="B24" s="152" t="s">
        <v>16</v>
      </c>
      <c r="C24" s="153" t="s">
        <v>16</v>
      </c>
      <c r="D24" s="154">
        <v>277391387317</v>
      </c>
      <c r="E24" s="157" t="s">
        <v>68</v>
      </c>
      <c r="F24" s="153" t="s">
        <v>18</v>
      </c>
      <c r="G24" s="153" t="s">
        <v>19</v>
      </c>
      <c r="H24" s="155" t="s">
        <v>20</v>
      </c>
      <c r="I24" s="156">
        <v>16.02</v>
      </c>
      <c r="J24" s="153" t="s">
        <v>21</v>
      </c>
      <c r="K24" s="153" t="s">
        <v>24</v>
      </c>
      <c r="L24" s="153" t="s">
        <v>23</v>
      </c>
      <c r="M24" s="153">
        <v>2</v>
      </c>
      <c r="N24" s="153" t="s">
        <v>24</v>
      </c>
      <c r="O24" s="153" t="s">
        <v>25</v>
      </c>
      <c r="P24" s="149">
        <f t="shared" si="0"/>
        <v>192.24</v>
      </c>
      <c r="Q24" s="157" t="s">
        <v>69</v>
      </c>
      <c r="R24" s="155" t="s">
        <v>47</v>
      </c>
      <c r="S24" s="158" t="s">
        <v>28</v>
      </c>
    </row>
    <row r="25" spans="2:19" ht="120" customHeight="1" x14ac:dyDescent="0.35">
      <c r="B25" s="152" t="s">
        <v>16</v>
      </c>
      <c r="C25" s="153" t="s">
        <v>16</v>
      </c>
      <c r="D25" s="154">
        <v>277391387317</v>
      </c>
      <c r="E25" s="157" t="s">
        <v>70</v>
      </c>
      <c r="F25" s="153" t="s">
        <v>18</v>
      </c>
      <c r="G25" s="153" t="s">
        <v>19</v>
      </c>
      <c r="H25" s="155" t="s">
        <v>20</v>
      </c>
      <c r="I25" s="156">
        <v>16.010000000000002</v>
      </c>
      <c r="J25" s="153" t="s">
        <v>21</v>
      </c>
      <c r="K25" s="153" t="s">
        <v>24</v>
      </c>
      <c r="L25" s="153" t="s">
        <v>23</v>
      </c>
      <c r="M25" s="153">
        <v>2</v>
      </c>
      <c r="N25" s="153" t="s">
        <v>24</v>
      </c>
      <c r="O25" s="153" t="s">
        <v>25</v>
      </c>
      <c r="P25" s="149">
        <f t="shared" si="0"/>
        <v>192.12</v>
      </c>
      <c r="Q25" s="157" t="s">
        <v>71</v>
      </c>
      <c r="R25" s="155" t="s">
        <v>47</v>
      </c>
      <c r="S25" s="158" t="s">
        <v>28</v>
      </c>
    </row>
    <row r="26" spans="2:19" ht="120" customHeight="1" x14ac:dyDescent="0.35">
      <c r="B26" s="152" t="s">
        <v>16</v>
      </c>
      <c r="C26" s="153" t="s">
        <v>16</v>
      </c>
      <c r="D26" s="154">
        <v>277391387317</v>
      </c>
      <c r="E26" s="157" t="s">
        <v>72</v>
      </c>
      <c r="F26" s="153" t="s">
        <v>18</v>
      </c>
      <c r="G26" s="153" t="s">
        <v>19</v>
      </c>
      <c r="H26" s="155" t="s">
        <v>20</v>
      </c>
      <c r="I26" s="156">
        <v>16.010000000000002</v>
      </c>
      <c r="J26" s="153" t="s">
        <v>21</v>
      </c>
      <c r="K26" s="153" t="s">
        <v>24</v>
      </c>
      <c r="L26" s="153" t="s">
        <v>23</v>
      </c>
      <c r="M26" s="153">
        <v>2</v>
      </c>
      <c r="N26" s="153" t="s">
        <v>24</v>
      </c>
      <c r="O26" s="153" t="s">
        <v>25</v>
      </c>
      <c r="P26" s="149">
        <f t="shared" si="0"/>
        <v>192.12</v>
      </c>
      <c r="Q26" s="157" t="s">
        <v>73</v>
      </c>
      <c r="R26" s="155" t="s">
        <v>47</v>
      </c>
      <c r="S26" s="158" t="s">
        <v>28</v>
      </c>
    </row>
    <row r="27" spans="2:19" ht="120" customHeight="1" x14ac:dyDescent="0.35">
      <c r="B27" s="152" t="s">
        <v>16</v>
      </c>
      <c r="C27" s="153" t="s">
        <v>16</v>
      </c>
      <c r="D27" s="154">
        <v>277391387317</v>
      </c>
      <c r="E27" s="157" t="s">
        <v>74</v>
      </c>
      <c r="F27" s="153" t="s">
        <v>18</v>
      </c>
      <c r="G27" s="153" t="s">
        <v>19</v>
      </c>
      <c r="H27" s="155" t="s">
        <v>20</v>
      </c>
      <c r="I27" s="156">
        <v>16</v>
      </c>
      <c r="J27" s="153" t="s">
        <v>21</v>
      </c>
      <c r="K27" s="153" t="s">
        <v>24</v>
      </c>
      <c r="L27" s="153" t="s">
        <v>23</v>
      </c>
      <c r="M27" s="153">
        <v>2</v>
      </c>
      <c r="N27" s="153" t="s">
        <v>24</v>
      </c>
      <c r="O27" s="153" t="s">
        <v>25</v>
      </c>
      <c r="P27" s="149">
        <f t="shared" si="0"/>
        <v>192</v>
      </c>
      <c r="Q27" s="157" t="s">
        <v>75</v>
      </c>
      <c r="R27" s="155" t="s">
        <v>47</v>
      </c>
      <c r="S27" s="158" t="s">
        <v>28</v>
      </c>
    </row>
    <row r="28" spans="2:19" ht="120" customHeight="1" x14ac:dyDescent="0.35">
      <c r="B28" s="152" t="s">
        <v>16</v>
      </c>
      <c r="C28" s="153" t="s">
        <v>16</v>
      </c>
      <c r="D28" s="154">
        <v>277391387317</v>
      </c>
      <c r="E28" s="157" t="s">
        <v>76</v>
      </c>
      <c r="F28" s="153" t="s">
        <v>18</v>
      </c>
      <c r="G28" s="153" t="s">
        <v>19</v>
      </c>
      <c r="H28" s="155" t="s">
        <v>20</v>
      </c>
      <c r="I28" s="156">
        <v>15.99</v>
      </c>
      <c r="J28" s="153" t="s">
        <v>21</v>
      </c>
      <c r="K28" s="153" t="s">
        <v>24</v>
      </c>
      <c r="L28" s="153" t="s">
        <v>23</v>
      </c>
      <c r="M28" s="153">
        <v>2</v>
      </c>
      <c r="N28" s="153" t="s">
        <v>24</v>
      </c>
      <c r="O28" s="153" t="s">
        <v>25</v>
      </c>
      <c r="P28" s="149">
        <f t="shared" si="0"/>
        <v>191.88</v>
      </c>
      <c r="Q28" s="157" t="s">
        <v>77</v>
      </c>
      <c r="R28" s="155" t="s">
        <v>47</v>
      </c>
      <c r="S28" s="158" t="s">
        <v>28</v>
      </c>
    </row>
    <row r="29" spans="2:19" ht="120" customHeight="1" x14ac:dyDescent="0.35">
      <c r="B29" s="152" t="s">
        <v>16</v>
      </c>
      <c r="C29" s="153" t="s">
        <v>16</v>
      </c>
      <c r="D29" s="154">
        <v>419135461434</v>
      </c>
      <c r="E29" s="157" t="s">
        <v>78</v>
      </c>
      <c r="F29" s="153" t="s">
        <v>18</v>
      </c>
      <c r="G29" s="153" t="s">
        <v>19</v>
      </c>
      <c r="H29" s="155" t="s">
        <v>20</v>
      </c>
      <c r="I29" s="156">
        <v>15.99</v>
      </c>
      <c r="J29" s="153" t="s">
        <v>21</v>
      </c>
      <c r="K29" s="153" t="s">
        <v>24</v>
      </c>
      <c r="L29" s="153" t="s">
        <v>23</v>
      </c>
      <c r="M29" s="153">
        <v>2</v>
      </c>
      <c r="N29" s="153" t="s">
        <v>24</v>
      </c>
      <c r="O29" s="153" t="s">
        <v>25</v>
      </c>
      <c r="P29" s="149">
        <f t="shared" si="0"/>
        <v>191.88</v>
      </c>
      <c r="Q29" s="157" t="s">
        <v>79</v>
      </c>
      <c r="R29" s="155" t="s">
        <v>47</v>
      </c>
      <c r="S29" s="158" t="s">
        <v>28</v>
      </c>
    </row>
    <row r="30" spans="2:19" ht="120" customHeight="1" x14ac:dyDescent="0.35">
      <c r="B30" s="152" t="s">
        <v>16</v>
      </c>
      <c r="C30" s="153" t="s">
        <v>16</v>
      </c>
      <c r="D30" s="154">
        <v>779846800024</v>
      </c>
      <c r="E30" s="157" t="s">
        <v>80</v>
      </c>
      <c r="F30" s="153" t="s">
        <v>18</v>
      </c>
      <c r="G30" s="153" t="s">
        <v>19</v>
      </c>
      <c r="H30" s="155" t="s">
        <v>20</v>
      </c>
      <c r="I30" s="156">
        <v>15.99</v>
      </c>
      <c r="J30" s="153" t="s">
        <v>21</v>
      </c>
      <c r="K30" s="153" t="s">
        <v>24</v>
      </c>
      <c r="L30" s="153" t="s">
        <v>23</v>
      </c>
      <c r="M30" s="153">
        <v>2</v>
      </c>
      <c r="N30" s="153" t="s">
        <v>24</v>
      </c>
      <c r="O30" s="153" t="s">
        <v>25</v>
      </c>
      <c r="P30" s="149">
        <f t="shared" si="0"/>
        <v>191.88</v>
      </c>
      <c r="Q30" s="157" t="s">
        <v>81</v>
      </c>
      <c r="R30" s="155" t="s">
        <v>47</v>
      </c>
      <c r="S30" s="158" t="s">
        <v>28</v>
      </c>
    </row>
    <row r="31" spans="2:19" ht="120" customHeight="1" x14ac:dyDescent="0.35">
      <c r="B31" s="152" t="s">
        <v>16</v>
      </c>
      <c r="C31" s="153" t="s">
        <v>16</v>
      </c>
      <c r="D31" s="154">
        <v>779846800024</v>
      </c>
      <c r="E31" s="157" t="s">
        <v>82</v>
      </c>
      <c r="F31" s="153" t="s">
        <v>18</v>
      </c>
      <c r="G31" s="153" t="s">
        <v>19</v>
      </c>
      <c r="H31" s="155" t="s">
        <v>20</v>
      </c>
      <c r="I31" s="156">
        <v>15.99</v>
      </c>
      <c r="J31" s="153" t="s">
        <v>21</v>
      </c>
      <c r="K31" s="153" t="s">
        <v>24</v>
      </c>
      <c r="L31" s="153" t="s">
        <v>23</v>
      </c>
      <c r="M31" s="153">
        <v>2</v>
      </c>
      <c r="N31" s="153" t="s">
        <v>24</v>
      </c>
      <c r="O31" s="153" t="s">
        <v>25</v>
      </c>
      <c r="P31" s="149">
        <f t="shared" si="0"/>
        <v>191.88</v>
      </c>
      <c r="Q31" s="157" t="s">
        <v>83</v>
      </c>
      <c r="R31" s="155" t="s">
        <v>47</v>
      </c>
      <c r="S31" s="158" t="s">
        <v>28</v>
      </c>
    </row>
    <row r="32" spans="2:19" ht="120" customHeight="1" x14ac:dyDescent="0.35">
      <c r="B32" s="152" t="s">
        <v>16</v>
      </c>
      <c r="C32" s="153" t="s">
        <v>16</v>
      </c>
      <c r="D32" s="154">
        <v>277391387317</v>
      </c>
      <c r="E32" s="157" t="s">
        <v>84</v>
      </c>
      <c r="F32" s="153" t="s">
        <v>18</v>
      </c>
      <c r="G32" s="153" t="s">
        <v>19</v>
      </c>
      <c r="H32" s="155" t="s">
        <v>20</v>
      </c>
      <c r="I32" s="156">
        <v>15.98</v>
      </c>
      <c r="J32" s="153" t="s">
        <v>21</v>
      </c>
      <c r="K32" s="153" t="s">
        <v>24</v>
      </c>
      <c r="L32" s="153" t="s">
        <v>23</v>
      </c>
      <c r="M32" s="153">
        <v>2</v>
      </c>
      <c r="N32" s="153" t="s">
        <v>24</v>
      </c>
      <c r="O32" s="153" t="s">
        <v>25</v>
      </c>
      <c r="P32" s="149">
        <f t="shared" si="0"/>
        <v>191.76</v>
      </c>
      <c r="Q32" s="157" t="s">
        <v>85</v>
      </c>
      <c r="R32" s="155" t="s">
        <v>47</v>
      </c>
      <c r="S32" s="158" t="s">
        <v>28</v>
      </c>
    </row>
    <row r="33" spans="2:19" ht="120" customHeight="1" x14ac:dyDescent="0.35">
      <c r="B33" s="152" t="s">
        <v>16</v>
      </c>
      <c r="C33" s="153" t="s">
        <v>16</v>
      </c>
      <c r="D33" s="154">
        <v>277391387317</v>
      </c>
      <c r="E33" s="157" t="s">
        <v>86</v>
      </c>
      <c r="F33" s="153" t="s">
        <v>18</v>
      </c>
      <c r="G33" s="153" t="s">
        <v>19</v>
      </c>
      <c r="H33" s="155" t="s">
        <v>20</v>
      </c>
      <c r="I33" s="156">
        <v>15.98</v>
      </c>
      <c r="J33" s="153" t="s">
        <v>21</v>
      </c>
      <c r="K33" s="153" t="s">
        <v>24</v>
      </c>
      <c r="L33" s="153" t="s">
        <v>23</v>
      </c>
      <c r="M33" s="153">
        <v>2</v>
      </c>
      <c r="N33" s="153" t="s">
        <v>24</v>
      </c>
      <c r="O33" s="153" t="s">
        <v>25</v>
      </c>
      <c r="P33" s="149">
        <f t="shared" si="0"/>
        <v>191.76</v>
      </c>
      <c r="Q33" s="157" t="s">
        <v>87</v>
      </c>
      <c r="R33" s="155" t="s">
        <v>47</v>
      </c>
      <c r="S33" s="158" t="s">
        <v>28</v>
      </c>
    </row>
    <row r="34" spans="2:19" ht="120" customHeight="1" x14ac:dyDescent="0.35">
      <c r="B34" s="152" t="s">
        <v>16</v>
      </c>
      <c r="C34" s="153" t="s">
        <v>16</v>
      </c>
      <c r="D34" s="154">
        <v>779846800024</v>
      </c>
      <c r="E34" s="157" t="s">
        <v>88</v>
      </c>
      <c r="F34" s="153" t="s">
        <v>18</v>
      </c>
      <c r="G34" s="153" t="s">
        <v>19</v>
      </c>
      <c r="H34" s="155" t="s">
        <v>20</v>
      </c>
      <c r="I34" s="156">
        <v>15.98</v>
      </c>
      <c r="J34" s="153" t="s">
        <v>21</v>
      </c>
      <c r="K34" s="153" t="s">
        <v>24</v>
      </c>
      <c r="L34" s="153" t="s">
        <v>23</v>
      </c>
      <c r="M34" s="153">
        <v>2</v>
      </c>
      <c r="N34" s="153" t="s">
        <v>24</v>
      </c>
      <c r="O34" s="153" t="s">
        <v>25</v>
      </c>
      <c r="P34" s="149">
        <f t="shared" si="0"/>
        <v>191.76</v>
      </c>
      <c r="Q34" s="157" t="s">
        <v>89</v>
      </c>
      <c r="R34" s="155" t="s">
        <v>47</v>
      </c>
      <c r="S34" s="158" t="s">
        <v>28</v>
      </c>
    </row>
    <row r="35" spans="2:19" ht="120" customHeight="1" x14ac:dyDescent="0.35">
      <c r="B35" s="152" t="s">
        <v>16</v>
      </c>
      <c r="C35" s="153" t="s">
        <v>16</v>
      </c>
      <c r="D35" s="154">
        <v>277391387317</v>
      </c>
      <c r="E35" s="157" t="s">
        <v>90</v>
      </c>
      <c r="F35" s="153" t="s">
        <v>18</v>
      </c>
      <c r="G35" s="153" t="s">
        <v>19</v>
      </c>
      <c r="H35" s="155" t="s">
        <v>20</v>
      </c>
      <c r="I35" s="156">
        <v>15.97</v>
      </c>
      <c r="J35" s="153" t="s">
        <v>21</v>
      </c>
      <c r="K35" s="153" t="s">
        <v>24</v>
      </c>
      <c r="L35" s="153" t="s">
        <v>23</v>
      </c>
      <c r="M35" s="153">
        <v>2</v>
      </c>
      <c r="N35" s="153" t="s">
        <v>24</v>
      </c>
      <c r="O35" s="153" t="s">
        <v>25</v>
      </c>
      <c r="P35" s="149">
        <f t="shared" si="0"/>
        <v>191.64000000000001</v>
      </c>
      <c r="Q35" s="157" t="s">
        <v>91</v>
      </c>
      <c r="R35" s="155" t="s">
        <v>47</v>
      </c>
      <c r="S35" s="158" t="s">
        <v>28</v>
      </c>
    </row>
    <row r="36" spans="2:19" ht="120" customHeight="1" x14ac:dyDescent="0.35">
      <c r="B36" s="152" t="s">
        <v>16</v>
      </c>
      <c r="C36" s="153" t="s">
        <v>16</v>
      </c>
      <c r="D36" s="154">
        <v>277391387317</v>
      </c>
      <c r="E36" s="157" t="s">
        <v>92</v>
      </c>
      <c r="F36" s="153" t="s">
        <v>18</v>
      </c>
      <c r="G36" s="153" t="s">
        <v>19</v>
      </c>
      <c r="H36" s="155" t="s">
        <v>20</v>
      </c>
      <c r="I36" s="156">
        <v>15.96</v>
      </c>
      <c r="J36" s="153" t="s">
        <v>21</v>
      </c>
      <c r="K36" s="153" t="s">
        <v>24</v>
      </c>
      <c r="L36" s="153" t="s">
        <v>23</v>
      </c>
      <c r="M36" s="153">
        <v>2</v>
      </c>
      <c r="N36" s="153" t="s">
        <v>24</v>
      </c>
      <c r="O36" s="153" t="s">
        <v>25</v>
      </c>
      <c r="P36" s="149">
        <f t="shared" si="0"/>
        <v>191.52</v>
      </c>
      <c r="Q36" s="157" t="s">
        <v>93</v>
      </c>
      <c r="R36" s="155" t="s">
        <v>47</v>
      </c>
      <c r="S36" s="158" t="s">
        <v>28</v>
      </c>
    </row>
    <row r="37" spans="2:19" ht="120" customHeight="1" x14ac:dyDescent="0.35">
      <c r="B37" s="152" t="s">
        <v>16</v>
      </c>
      <c r="C37" s="153" t="s">
        <v>16</v>
      </c>
      <c r="D37" s="154">
        <v>608649261817</v>
      </c>
      <c r="E37" s="157" t="s">
        <v>94</v>
      </c>
      <c r="F37" s="153" t="s">
        <v>18</v>
      </c>
      <c r="G37" s="153" t="s">
        <v>19</v>
      </c>
      <c r="H37" s="155" t="s">
        <v>95</v>
      </c>
      <c r="I37" s="156">
        <v>15.96</v>
      </c>
      <c r="J37" s="153" t="s">
        <v>21</v>
      </c>
      <c r="K37" s="153" t="s">
        <v>24</v>
      </c>
      <c r="L37" s="153" t="s">
        <v>23</v>
      </c>
      <c r="M37" s="153">
        <v>2</v>
      </c>
      <c r="N37" s="153" t="s">
        <v>24</v>
      </c>
      <c r="O37" s="153" t="s">
        <v>25</v>
      </c>
      <c r="P37" s="149">
        <f t="shared" si="0"/>
        <v>191.52</v>
      </c>
      <c r="Q37" s="157" t="s">
        <v>96</v>
      </c>
      <c r="R37" s="155" t="s">
        <v>47</v>
      </c>
      <c r="S37" s="158" t="s">
        <v>28</v>
      </c>
    </row>
    <row r="38" spans="2:19" ht="120" customHeight="1" x14ac:dyDescent="0.35">
      <c r="B38" s="152" t="s">
        <v>16</v>
      </c>
      <c r="C38" s="153" t="s">
        <v>16</v>
      </c>
      <c r="D38" s="154">
        <v>628002692261</v>
      </c>
      <c r="E38" s="157" t="s">
        <v>97</v>
      </c>
      <c r="F38" s="153" t="s">
        <v>18</v>
      </c>
      <c r="G38" s="153" t="s">
        <v>19</v>
      </c>
      <c r="H38" s="155" t="s">
        <v>20</v>
      </c>
      <c r="I38" s="156">
        <v>15.96</v>
      </c>
      <c r="J38" s="153" t="s">
        <v>21</v>
      </c>
      <c r="K38" s="153" t="s">
        <v>24</v>
      </c>
      <c r="L38" s="153" t="s">
        <v>23</v>
      </c>
      <c r="M38" s="153">
        <v>2</v>
      </c>
      <c r="N38" s="153" t="s">
        <v>24</v>
      </c>
      <c r="O38" s="153" t="s">
        <v>25</v>
      </c>
      <c r="P38" s="149">
        <f t="shared" si="0"/>
        <v>191.52</v>
      </c>
      <c r="Q38" s="157" t="s">
        <v>98</v>
      </c>
      <c r="R38" s="155" t="s">
        <v>47</v>
      </c>
      <c r="S38" s="158" t="s">
        <v>28</v>
      </c>
    </row>
    <row r="39" spans="2:19" ht="120" customHeight="1" x14ac:dyDescent="0.35">
      <c r="B39" s="152" t="s">
        <v>16</v>
      </c>
      <c r="C39" s="153" t="s">
        <v>16</v>
      </c>
      <c r="D39" s="154">
        <v>628002692261</v>
      </c>
      <c r="E39" s="157" t="s">
        <v>99</v>
      </c>
      <c r="F39" s="153" t="s">
        <v>18</v>
      </c>
      <c r="G39" s="153" t="s">
        <v>19</v>
      </c>
      <c r="H39" s="155" t="s">
        <v>20</v>
      </c>
      <c r="I39" s="156">
        <v>15.96</v>
      </c>
      <c r="J39" s="153" t="s">
        <v>21</v>
      </c>
      <c r="K39" s="153" t="s">
        <v>24</v>
      </c>
      <c r="L39" s="153" t="s">
        <v>23</v>
      </c>
      <c r="M39" s="153">
        <v>2</v>
      </c>
      <c r="N39" s="153" t="s">
        <v>24</v>
      </c>
      <c r="O39" s="153" t="s">
        <v>25</v>
      </c>
      <c r="P39" s="149">
        <f t="shared" si="0"/>
        <v>191.52</v>
      </c>
      <c r="Q39" s="157" t="s">
        <v>100</v>
      </c>
      <c r="R39" s="155" t="s">
        <v>47</v>
      </c>
      <c r="S39" s="158" t="s">
        <v>28</v>
      </c>
    </row>
    <row r="40" spans="2:19" ht="120" customHeight="1" x14ac:dyDescent="0.35">
      <c r="B40" s="152" t="s">
        <v>16</v>
      </c>
      <c r="C40" s="153" t="s">
        <v>16</v>
      </c>
      <c r="D40" s="154">
        <v>60795916949</v>
      </c>
      <c r="E40" s="157" t="s">
        <v>101</v>
      </c>
      <c r="F40" s="153" t="s">
        <v>18</v>
      </c>
      <c r="G40" s="153" t="s">
        <v>19</v>
      </c>
      <c r="H40" s="155" t="s">
        <v>20</v>
      </c>
      <c r="I40" s="156">
        <v>15.95</v>
      </c>
      <c r="J40" s="153" t="s">
        <v>21</v>
      </c>
      <c r="K40" s="153" t="s">
        <v>24</v>
      </c>
      <c r="L40" s="153" t="s">
        <v>23</v>
      </c>
      <c r="M40" s="153">
        <v>2</v>
      </c>
      <c r="N40" s="153" t="s">
        <v>24</v>
      </c>
      <c r="O40" s="153" t="s">
        <v>25</v>
      </c>
      <c r="P40" s="149">
        <f t="shared" si="0"/>
        <v>191.39999999999998</v>
      </c>
      <c r="Q40" s="157" t="s">
        <v>102</v>
      </c>
      <c r="R40" s="155" t="s">
        <v>47</v>
      </c>
      <c r="S40" s="158" t="s">
        <v>28</v>
      </c>
    </row>
    <row r="41" spans="2:19" ht="120" customHeight="1" x14ac:dyDescent="0.35">
      <c r="B41" s="152" t="s">
        <v>16</v>
      </c>
      <c r="C41" s="153" t="s">
        <v>16</v>
      </c>
      <c r="D41" s="154">
        <v>60795916949</v>
      </c>
      <c r="E41" s="157" t="s">
        <v>103</v>
      </c>
      <c r="F41" s="153" t="s">
        <v>18</v>
      </c>
      <c r="G41" s="153" t="s">
        <v>19</v>
      </c>
      <c r="H41" s="155" t="s">
        <v>20</v>
      </c>
      <c r="I41" s="156">
        <v>15.95</v>
      </c>
      <c r="J41" s="153" t="s">
        <v>21</v>
      </c>
      <c r="K41" s="153" t="s">
        <v>24</v>
      </c>
      <c r="L41" s="153" t="s">
        <v>23</v>
      </c>
      <c r="M41" s="153">
        <v>2</v>
      </c>
      <c r="N41" s="153" t="s">
        <v>24</v>
      </c>
      <c r="O41" s="153" t="s">
        <v>25</v>
      </c>
      <c r="P41" s="149">
        <f t="shared" si="0"/>
        <v>191.39999999999998</v>
      </c>
      <c r="Q41" s="157" t="s">
        <v>104</v>
      </c>
      <c r="R41" s="155" t="s">
        <v>47</v>
      </c>
      <c r="S41" s="158" t="s">
        <v>28</v>
      </c>
    </row>
    <row r="42" spans="2:19" ht="120" customHeight="1" x14ac:dyDescent="0.35">
      <c r="B42" s="152" t="s">
        <v>16</v>
      </c>
      <c r="C42" s="153" t="s">
        <v>16</v>
      </c>
      <c r="D42" s="154">
        <v>60795916949</v>
      </c>
      <c r="E42" s="157" t="s">
        <v>105</v>
      </c>
      <c r="F42" s="153" t="s">
        <v>18</v>
      </c>
      <c r="G42" s="153" t="s">
        <v>19</v>
      </c>
      <c r="H42" s="155" t="s">
        <v>20</v>
      </c>
      <c r="I42" s="156">
        <v>15.95</v>
      </c>
      <c r="J42" s="153" t="s">
        <v>21</v>
      </c>
      <c r="K42" s="153" t="s">
        <v>24</v>
      </c>
      <c r="L42" s="153" t="s">
        <v>23</v>
      </c>
      <c r="M42" s="153">
        <v>2</v>
      </c>
      <c r="N42" s="153" t="s">
        <v>24</v>
      </c>
      <c r="O42" s="153" t="s">
        <v>25</v>
      </c>
      <c r="P42" s="149">
        <f t="shared" si="0"/>
        <v>191.39999999999998</v>
      </c>
      <c r="Q42" s="157" t="s">
        <v>106</v>
      </c>
      <c r="R42" s="155" t="s">
        <v>47</v>
      </c>
      <c r="S42" s="158" t="s">
        <v>28</v>
      </c>
    </row>
    <row r="43" spans="2:19" ht="120" customHeight="1" x14ac:dyDescent="0.35">
      <c r="B43" s="152" t="s">
        <v>16</v>
      </c>
      <c r="C43" s="153" t="s">
        <v>16</v>
      </c>
      <c r="D43" s="154">
        <v>172763297484</v>
      </c>
      <c r="E43" s="157" t="s">
        <v>107</v>
      </c>
      <c r="F43" s="153" t="s">
        <v>18</v>
      </c>
      <c r="G43" s="153" t="s">
        <v>19</v>
      </c>
      <c r="H43" s="155" t="s">
        <v>20</v>
      </c>
      <c r="I43" s="156">
        <v>15.95</v>
      </c>
      <c r="J43" s="153" t="s">
        <v>21</v>
      </c>
      <c r="K43" s="153" t="s">
        <v>24</v>
      </c>
      <c r="L43" s="153" t="s">
        <v>23</v>
      </c>
      <c r="M43" s="153">
        <v>2</v>
      </c>
      <c r="N43" s="153" t="s">
        <v>24</v>
      </c>
      <c r="O43" s="153" t="s">
        <v>25</v>
      </c>
      <c r="P43" s="149">
        <f t="shared" si="0"/>
        <v>191.39999999999998</v>
      </c>
      <c r="Q43" s="157" t="s">
        <v>108</v>
      </c>
      <c r="R43" s="155" t="s">
        <v>47</v>
      </c>
      <c r="S43" s="158" t="s">
        <v>28</v>
      </c>
    </row>
    <row r="44" spans="2:19" ht="120" customHeight="1" x14ac:dyDescent="0.35">
      <c r="B44" s="152" t="s">
        <v>16</v>
      </c>
      <c r="C44" s="153" t="s">
        <v>16</v>
      </c>
      <c r="D44" s="154">
        <v>172763297484</v>
      </c>
      <c r="E44" s="157" t="s">
        <v>109</v>
      </c>
      <c r="F44" s="153" t="s">
        <v>18</v>
      </c>
      <c r="G44" s="153" t="s">
        <v>19</v>
      </c>
      <c r="H44" s="155" t="s">
        <v>20</v>
      </c>
      <c r="I44" s="156">
        <v>15.95</v>
      </c>
      <c r="J44" s="153" t="s">
        <v>21</v>
      </c>
      <c r="K44" s="153" t="s">
        <v>24</v>
      </c>
      <c r="L44" s="153" t="s">
        <v>23</v>
      </c>
      <c r="M44" s="153">
        <v>2</v>
      </c>
      <c r="N44" s="153" t="s">
        <v>24</v>
      </c>
      <c r="O44" s="153" t="s">
        <v>25</v>
      </c>
      <c r="P44" s="149">
        <f t="shared" si="0"/>
        <v>191.39999999999998</v>
      </c>
      <c r="Q44" s="157" t="s">
        <v>110</v>
      </c>
      <c r="R44" s="155" t="s">
        <v>47</v>
      </c>
      <c r="S44" s="158" t="s">
        <v>28</v>
      </c>
    </row>
    <row r="45" spans="2:19" ht="120" customHeight="1" x14ac:dyDescent="0.35">
      <c r="B45" s="152" t="s">
        <v>16</v>
      </c>
      <c r="C45" s="153" t="s">
        <v>16</v>
      </c>
      <c r="D45" s="154">
        <v>172763297484</v>
      </c>
      <c r="E45" s="157" t="s">
        <v>111</v>
      </c>
      <c r="F45" s="153" t="s">
        <v>18</v>
      </c>
      <c r="G45" s="153" t="s">
        <v>19</v>
      </c>
      <c r="H45" s="155" t="s">
        <v>20</v>
      </c>
      <c r="I45" s="156">
        <v>15.95</v>
      </c>
      <c r="J45" s="153" t="s">
        <v>21</v>
      </c>
      <c r="K45" s="153" t="s">
        <v>24</v>
      </c>
      <c r="L45" s="153" t="s">
        <v>23</v>
      </c>
      <c r="M45" s="153">
        <v>2</v>
      </c>
      <c r="N45" s="153" t="s">
        <v>24</v>
      </c>
      <c r="O45" s="153" t="s">
        <v>25</v>
      </c>
      <c r="P45" s="149">
        <f t="shared" si="0"/>
        <v>191.39999999999998</v>
      </c>
      <c r="Q45" s="157" t="s">
        <v>112</v>
      </c>
      <c r="R45" s="155" t="s">
        <v>47</v>
      </c>
      <c r="S45" s="158" t="s">
        <v>28</v>
      </c>
    </row>
    <row r="46" spans="2:19" ht="120" customHeight="1" x14ac:dyDescent="0.35">
      <c r="B46" s="152" t="s">
        <v>16</v>
      </c>
      <c r="C46" s="153" t="s">
        <v>16</v>
      </c>
      <c r="D46" s="154">
        <v>172763297484</v>
      </c>
      <c r="E46" s="157" t="s">
        <v>113</v>
      </c>
      <c r="F46" s="153" t="s">
        <v>18</v>
      </c>
      <c r="G46" s="153" t="s">
        <v>19</v>
      </c>
      <c r="H46" s="155" t="s">
        <v>20</v>
      </c>
      <c r="I46" s="156">
        <v>15.95</v>
      </c>
      <c r="J46" s="153" t="s">
        <v>21</v>
      </c>
      <c r="K46" s="153" t="s">
        <v>24</v>
      </c>
      <c r="L46" s="153" t="s">
        <v>23</v>
      </c>
      <c r="M46" s="153">
        <v>2</v>
      </c>
      <c r="N46" s="153" t="s">
        <v>24</v>
      </c>
      <c r="O46" s="153" t="s">
        <v>25</v>
      </c>
      <c r="P46" s="149">
        <f t="shared" si="0"/>
        <v>191.39999999999998</v>
      </c>
      <c r="Q46" s="157" t="s">
        <v>114</v>
      </c>
      <c r="R46" s="155" t="s">
        <v>47</v>
      </c>
      <c r="S46" s="158" t="s">
        <v>28</v>
      </c>
    </row>
    <row r="47" spans="2:19" ht="120" customHeight="1" x14ac:dyDescent="0.35">
      <c r="B47" s="152" t="s">
        <v>16</v>
      </c>
      <c r="C47" s="153" t="s">
        <v>16</v>
      </c>
      <c r="D47" s="154">
        <v>172763297484</v>
      </c>
      <c r="E47" s="157" t="s">
        <v>115</v>
      </c>
      <c r="F47" s="153" t="s">
        <v>18</v>
      </c>
      <c r="G47" s="153" t="s">
        <v>19</v>
      </c>
      <c r="H47" s="155" t="s">
        <v>20</v>
      </c>
      <c r="I47" s="156">
        <v>15.95</v>
      </c>
      <c r="J47" s="153" t="s">
        <v>21</v>
      </c>
      <c r="K47" s="153" t="s">
        <v>24</v>
      </c>
      <c r="L47" s="153" t="s">
        <v>23</v>
      </c>
      <c r="M47" s="153">
        <v>2</v>
      </c>
      <c r="N47" s="153" t="s">
        <v>24</v>
      </c>
      <c r="O47" s="153" t="s">
        <v>25</v>
      </c>
      <c r="P47" s="149">
        <f t="shared" si="0"/>
        <v>191.39999999999998</v>
      </c>
      <c r="Q47" s="157" t="s">
        <v>116</v>
      </c>
      <c r="R47" s="155" t="s">
        <v>47</v>
      </c>
      <c r="S47" s="158" t="s">
        <v>28</v>
      </c>
    </row>
    <row r="48" spans="2:19" ht="120" customHeight="1" x14ac:dyDescent="0.35">
      <c r="B48" s="152" t="s">
        <v>16</v>
      </c>
      <c r="C48" s="153" t="s">
        <v>16</v>
      </c>
      <c r="D48" s="154">
        <v>172763297484</v>
      </c>
      <c r="E48" s="157" t="s">
        <v>117</v>
      </c>
      <c r="F48" s="153" t="s">
        <v>18</v>
      </c>
      <c r="G48" s="153" t="s">
        <v>19</v>
      </c>
      <c r="H48" s="155" t="s">
        <v>20</v>
      </c>
      <c r="I48" s="156">
        <v>15.95</v>
      </c>
      <c r="J48" s="153" t="s">
        <v>21</v>
      </c>
      <c r="K48" s="153" t="s">
        <v>24</v>
      </c>
      <c r="L48" s="153" t="s">
        <v>23</v>
      </c>
      <c r="M48" s="153">
        <v>2</v>
      </c>
      <c r="N48" s="153" t="s">
        <v>24</v>
      </c>
      <c r="O48" s="153" t="s">
        <v>25</v>
      </c>
      <c r="P48" s="149">
        <f t="shared" si="0"/>
        <v>191.39999999999998</v>
      </c>
      <c r="Q48" s="157" t="s">
        <v>118</v>
      </c>
      <c r="R48" s="155" t="s">
        <v>47</v>
      </c>
      <c r="S48" s="158" t="s">
        <v>28</v>
      </c>
    </row>
    <row r="49" spans="2:19" ht="120" customHeight="1" x14ac:dyDescent="0.35">
      <c r="B49" s="152" t="s">
        <v>16</v>
      </c>
      <c r="C49" s="153" t="s">
        <v>16</v>
      </c>
      <c r="D49" s="154">
        <v>172763297484</v>
      </c>
      <c r="E49" s="157" t="s">
        <v>119</v>
      </c>
      <c r="F49" s="153" t="s">
        <v>18</v>
      </c>
      <c r="G49" s="153" t="s">
        <v>19</v>
      </c>
      <c r="H49" s="155" t="s">
        <v>20</v>
      </c>
      <c r="I49" s="156">
        <v>15.95</v>
      </c>
      <c r="J49" s="153" t="s">
        <v>21</v>
      </c>
      <c r="K49" s="153" t="s">
        <v>24</v>
      </c>
      <c r="L49" s="153" t="s">
        <v>23</v>
      </c>
      <c r="M49" s="153">
        <v>2</v>
      </c>
      <c r="N49" s="153" t="s">
        <v>24</v>
      </c>
      <c r="O49" s="153" t="s">
        <v>25</v>
      </c>
      <c r="P49" s="149">
        <f t="shared" si="0"/>
        <v>191.39999999999998</v>
      </c>
      <c r="Q49" s="157" t="s">
        <v>120</v>
      </c>
      <c r="R49" s="155" t="s">
        <v>47</v>
      </c>
      <c r="S49" s="158" t="s">
        <v>28</v>
      </c>
    </row>
    <row r="50" spans="2:19" ht="120" customHeight="1" x14ac:dyDescent="0.35">
      <c r="B50" s="152" t="s">
        <v>16</v>
      </c>
      <c r="C50" s="153" t="s">
        <v>16</v>
      </c>
      <c r="D50" s="154">
        <v>172763297484</v>
      </c>
      <c r="E50" s="157" t="s">
        <v>121</v>
      </c>
      <c r="F50" s="153" t="s">
        <v>18</v>
      </c>
      <c r="G50" s="153" t="s">
        <v>19</v>
      </c>
      <c r="H50" s="155" t="s">
        <v>20</v>
      </c>
      <c r="I50" s="156">
        <v>15.95</v>
      </c>
      <c r="J50" s="153" t="s">
        <v>21</v>
      </c>
      <c r="K50" s="153" t="s">
        <v>24</v>
      </c>
      <c r="L50" s="153" t="s">
        <v>23</v>
      </c>
      <c r="M50" s="153">
        <v>2</v>
      </c>
      <c r="N50" s="153" t="s">
        <v>24</v>
      </c>
      <c r="O50" s="153" t="s">
        <v>25</v>
      </c>
      <c r="P50" s="149">
        <f t="shared" si="0"/>
        <v>191.39999999999998</v>
      </c>
      <c r="Q50" s="157" t="s">
        <v>122</v>
      </c>
      <c r="R50" s="155" t="s">
        <v>47</v>
      </c>
      <c r="S50" s="158" t="s">
        <v>28</v>
      </c>
    </row>
    <row r="51" spans="2:19" ht="120" customHeight="1" x14ac:dyDescent="0.35">
      <c r="B51" s="152" t="s">
        <v>16</v>
      </c>
      <c r="C51" s="153" t="s">
        <v>16</v>
      </c>
      <c r="D51" s="154">
        <v>172763297484</v>
      </c>
      <c r="E51" s="157" t="s">
        <v>123</v>
      </c>
      <c r="F51" s="153" t="s">
        <v>18</v>
      </c>
      <c r="G51" s="153" t="s">
        <v>19</v>
      </c>
      <c r="H51" s="155" t="s">
        <v>20</v>
      </c>
      <c r="I51" s="156">
        <v>15.95</v>
      </c>
      <c r="J51" s="153" t="s">
        <v>21</v>
      </c>
      <c r="K51" s="153" t="s">
        <v>24</v>
      </c>
      <c r="L51" s="153" t="s">
        <v>23</v>
      </c>
      <c r="M51" s="153">
        <v>2</v>
      </c>
      <c r="N51" s="153" t="s">
        <v>24</v>
      </c>
      <c r="O51" s="153" t="s">
        <v>25</v>
      </c>
      <c r="P51" s="149">
        <f t="shared" si="0"/>
        <v>191.39999999999998</v>
      </c>
      <c r="Q51" s="157" t="s">
        <v>124</v>
      </c>
      <c r="R51" s="155" t="s">
        <v>47</v>
      </c>
      <c r="S51" s="158" t="s">
        <v>28</v>
      </c>
    </row>
    <row r="52" spans="2:19" ht="120" customHeight="1" x14ac:dyDescent="0.35">
      <c r="B52" s="152" t="s">
        <v>16</v>
      </c>
      <c r="C52" s="153" t="s">
        <v>16</v>
      </c>
      <c r="D52" s="154">
        <v>172763297484</v>
      </c>
      <c r="E52" s="157" t="s">
        <v>125</v>
      </c>
      <c r="F52" s="153" t="s">
        <v>18</v>
      </c>
      <c r="G52" s="153" t="s">
        <v>19</v>
      </c>
      <c r="H52" s="155" t="s">
        <v>20</v>
      </c>
      <c r="I52" s="156">
        <v>15.95</v>
      </c>
      <c r="J52" s="153" t="s">
        <v>21</v>
      </c>
      <c r="K52" s="153" t="s">
        <v>24</v>
      </c>
      <c r="L52" s="153" t="s">
        <v>23</v>
      </c>
      <c r="M52" s="153">
        <v>2</v>
      </c>
      <c r="N52" s="153" t="s">
        <v>24</v>
      </c>
      <c r="O52" s="153" t="s">
        <v>25</v>
      </c>
      <c r="P52" s="149">
        <f t="shared" si="0"/>
        <v>191.39999999999998</v>
      </c>
      <c r="Q52" s="157" t="s">
        <v>126</v>
      </c>
      <c r="R52" s="155" t="s">
        <v>47</v>
      </c>
      <c r="S52" s="158" t="s">
        <v>28</v>
      </c>
    </row>
    <row r="53" spans="2:19" ht="120" customHeight="1" x14ac:dyDescent="0.35">
      <c r="B53" s="152" t="s">
        <v>16</v>
      </c>
      <c r="C53" s="153" t="s">
        <v>16</v>
      </c>
      <c r="D53" s="154">
        <v>172763297484</v>
      </c>
      <c r="E53" s="157" t="s">
        <v>127</v>
      </c>
      <c r="F53" s="153" t="s">
        <v>18</v>
      </c>
      <c r="G53" s="153" t="s">
        <v>19</v>
      </c>
      <c r="H53" s="155" t="s">
        <v>20</v>
      </c>
      <c r="I53" s="156">
        <v>15.95</v>
      </c>
      <c r="J53" s="153" t="s">
        <v>21</v>
      </c>
      <c r="K53" s="153" t="s">
        <v>24</v>
      </c>
      <c r="L53" s="153" t="s">
        <v>23</v>
      </c>
      <c r="M53" s="153">
        <v>2</v>
      </c>
      <c r="N53" s="153" t="s">
        <v>24</v>
      </c>
      <c r="O53" s="153" t="s">
        <v>25</v>
      </c>
      <c r="P53" s="149">
        <f t="shared" si="0"/>
        <v>191.39999999999998</v>
      </c>
      <c r="Q53" s="157" t="s">
        <v>128</v>
      </c>
      <c r="R53" s="155" t="s">
        <v>47</v>
      </c>
      <c r="S53" s="158" t="s">
        <v>28</v>
      </c>
    </row>
    <row r="54" spans="2:19" ht="120" customHeight="1" x14ac:dyDescent="0.35">
      <c r="B54" s="152" t="s">
        <v>16</v>
      </c>
      <c r="C54" s="153" t="s">
        <v>16</v>
      </c>
      <c r="D54" s="154">
        <v>172763297484</v>
      </c>
      <c r="E54" s="157" t="s">
        <v>129</v>
      </c>
      <c r="F54" s="153" t="s">
        <v>18</v>
      </c>
      <c r="G54" s="153" t="s">
        <v>19</v>
      </c>
      <c r="H54" s="155" t="s">
        <v>20</v>
      </c>
      <c r="I54" s="156">
        <v>15.95</v>
      </c>
      <c r="J54" s="153" t="s">
        <v>21</v>
      </c>
      <c r="K54" s="153" t="s">
        <v>24</v>
      </c>
      <c r="L54" s="153" t="s">
        <v>23</v>
      </c>
      <c r="M54" s="153">
        <v>2</v>
      </c>
      <c r="N54" s="153" t="s">
        <v>24</v>
      </c>
      <c r="O54" s="153" t="s">
        <v>25</v>
      </c>
      <c r="P54" s="149">
        <f t="shared" si="0"/>
        <v>191.39999999999998</v>
      </c>
      <c r="Q54" s="157" t="s">
        <v>130</v>
      </c>
      <c r="R54" s="155" t="s">
        <v>47</v>
      </c>
      <c r="S54" s="158" t="s">
        <v>28</v>
      </c>
    </row>
    <row r="55" spans="2:19" ht="120" customHeight="1" x14ac:dyDescent="0.35">
      <c r="B55" s="152" t="s">
        <v>16</v>
      </c>
      <c r="C55" s="153" t="s">
        <v>16</v>
      </c>
      <c r="D55" s="154">
        <v>172763297484</v>
      </c>
      <c r="E55" s="157" t="s">
        <v>131</v>
      </c>
      <c r="F55" s="153" t="s">
        <v>18</v>
      </c>
      <c r="G55" s="153" t="s">
        <v>19</v>
      </c>
      <c r="H55" s="155" t="s">
        <v>20</v>
      </c>
      <c r="I55" s="156">
        <v>15.95</v>
      </c>
      <c r="J55" s="153" t="s">
        <v>21</v>
      </c>
      <c r="K55" s="153" t="s">
        <v>24</v>
      </c>
      <c r="L55" s="153" t="s">
        <v>23</v>
      </c>
      <c r="M55" s="153">
        <v>2</v>
      </c>
      <c r="N55" s="153" t="s">
        <v>24</v>
      </c>
      <c r="O55" s="153" t="s">
        <v>25</v>
      </c>
      <c r="P55" s="149">
        <f t="shared" si="0"/>
        <v>191.39999999999998</v>
      </c>
      <c r="Q55" s="157" t="s">
        <v>132</v>
      </c>
      <c r="R55" s="155" t="s">
        <v>47</v>
      </c>
      <c r="S55" s="158" t="s">
        <v>28</v>
      </c>
    </row>
    <row r="56" spans="2:19" ht="120" customHeight="1" x14ac:dyDescent="0.35">
      <c r="B56" s="152" t="s">
        <v>16</v>
      </c>
      <c r="C56" s="153" t="s">
        <v>16</v>
      </c>
      <c r="D56" s="154">
        <v>172763297484</v>
      </c>
      <c r="E56" s="157" t="s">
        <v>133</v>
      </c>
      <c r="F56" s="153" t="s">
        <v>18</v>
      </c>
      <c r="G56" s="153" t="s">
        <v>19</v>
      </c>
      <c r="H56" s="155" t="s">
        <v>20</v>
      </c>
      <c r="I56" s="156">
        <v>15.95</v>
      </c>
      <c r="J56" s="153" t="s">
        <v>21</v>
      </c>
      <c r="K56" s="153" t="s">
        <v>24</v>
      </c>
      <c r="L56" s="153" t="s">
        <v>23</v>
      </c>
      <c r="M56" s="153">
        <v>2</v>
      </c>
      <c r="N56" s="153" t="s">
        <v>24</v>
      </c>
      <c r="O56" s="153" t="s">
        <v>25</v>
      </c>
      <c r="P56" s="149">
        <f t="shared" si="0"/>
        <v>191.39999999999998</v>
      </c>
      <c r="Q56" s="157" t="s">
        <v>134</v>
      </c>
      <c r="R56" s="155" t="s">
        <v>47</v>
      </c>
      <c r="S56" s="158" t="s">
        <v>28</v>
      </c>
    </row>
    <row r="57" spans="2:19" ht="120" customHeight="1" x14ac:dyDescent="0.35">
      <c r="B57" s="152" t="s">
        <v>16</v>
      </c>
      <c r="C57" s="153" t="s">
        <v>16</v>
      </c>
      <c r="D57" s="154">
        <v>172763297484</v>
      </c>
      <c r="E57" s="157" t="s">
        <v>135</v>
      </c>
      <c r="F57" s="153" t="s">
        <v>18</v>
      </c>
      <c r="G57" s="153" t="s">
        <v>19</v>
      </c>
      <c r="H57" s="155" t="s">
        <v>20</v>
      </c>
      <c r="I57" s="156">
        <v>15.95</v>
      </c>
      <c r="J57" s="153" t="s">
        <v>21</v>
      </c>
      <c r="K57" s="153" t="s">
        <v>24</v>
      </c>
      <c r="L57" s="153" t="s">
        <v>23</v>
      </c>
      <c r="M57" s="153">
        <v>2</v>
      </c>
      <c r="N57" s="153" t="s">
        <v>24</v>
      </c>
      <c r="O57" s="153" t="s">
        <v>25</v>
      </c>
      <c r="P57" s="149">
        <f t="shared" si="0"/>
        <v>191.39999999999998</v>
      </c>
      <c r="Q57" s="157" t="s">
        <v>136</v>
      </c>
      <c r="R57" s="155" t="s">
        <v>47</v>
      </c>
      <c r="S57" s="158" t="s">
        <v>28</v>
      </c>
    </row>
    <row r="58" spans="2:19" ht="120" customHeight="1" x14ac:dyDescent="0.35">
      <c r="B58" s="152" t="s">
        <v>16</v>
      </c>
      <c r="C58" s="153" t="s">
        <v>16</v>
      </c>
      <c r="D58" s="154">
        <v>172763297484</v>
      </c>
      <c r="E58" s="157" t="s">
        <v>137</v>
      </c>
      <c r="F58" s="153" t="s">
        <v>18</v>
      </c>
      <c r="G58" s="153" t="s">
        <v>19</v>
      </c>
      <c r="H58" s="155" t="s">
        <v>20</v>
      </c>
      <c r="I58" s="156">
        <v>15.95</v>
      </c>
      <c r="J58" s="153" t="s">
        <v>21</v>
      </c>
      <c r="K58" s="153" t="s">
        <v>24</v>
      </c>
      <c r="L58" s="153" t="s">
        <v>23</v>
      </c>
      <c r="M58" s="153">
        <v>2</v>
      </c>
      <c r="N58" s="153" t="s">
        <v>24</v>
      </c>
      <c r="O58" s="153" t="s">
        <v>25</v>
      </c>
      <c r="P58" s="149">
        <f t="shared" si="0"/>
        <v>191.39999999999998</v>
      </c>
      <c r="Q58" s="157" t="s">
        <v>138</v>
      </c>
      <c r="R58" s="155" t="s">
        <v>47</v>
      </c>
      <c r="S58" s="158" t="s">
        <v>28</v>
      </c>
    </row>
    <row r="59" spans="2:19" ht="120" customHeight="1" x14ac:dyDescent="0.35">
      <c r="B59" s="152" t="s">
        <v>16</v>
      </c>
      <c r="C59" s="153" t="s">
        <v>16</v>
      </c>
      <c r="D59" s="154">
        <v>172763297484</v>
      </c>
      <c r="E59" s="157" t="s">
        <v>139</v>
      </c>
      <c r="F59" s="153" t="s">
        <v>18</v>
      </c>
      <c r="G59" s="153" t="s">
        <v>19</v>
      </c>
      <c r="H59" s="155" t="s">
        <v>20</v>
      </c>
      <c r="I59" s="156">
        <v>15.95</v>
      </c>
      <c r="J59" s="153" t="s">
        <v>21</v>
      </c>
      <c r="K59" s="153" t="s">
        <v>24</v>
      </c>
      <c r="L59" s="153" t="s">
        <v>23</v>
      </c>
      <c r="M59" s="153">
        <v>2</v>
      </c>
      <c r="N59" s="153" t="s">
        <v>24</v>
      </c>
      <c r="O59" s="153" t="s">
        <v>25</v>
      </c>
      <c r="P59" s="149">
        <f t="shared" si="0"/>
        <v>191.39999999999998</v>
      </c>
      <c r="Q59" s="157" t="s">
        <v>140</v>
      </c>
      <c r="R59" s="155" t="s">
        <v>47</v>
      </c>
      <c r="S59" s="158" t="s">
        <v>28</v>
      </c>
    </row>
    <row r="60" spans="2:19" ht="120" customHeight="1" x14ac:dyDescent="0.35">
      <c r="B60" s="152" t="s">
        <v>16</v>
      </c>
      <c r="C60" s="153" t="s">
        <v>16</v>
      </c>
      <c r="D60" s="154">
        <v>172763297484</v>
      </c>
      <c r="E60" s="157" t="s">
        <v>141</v>
      </c>
      <c r="F60" s="153" t="s">
        <v>18</v>
      </c>
      <c r="G60" s="153" t="s">
        <v>19</v>
      </c>
      <c r="H60" s="155" t="s">
        <v>20</v>
      </c>
      <c r="I60" s="156">
        <v>15.95</v>
      </c>
      <c r="J60" s="153" t="s">
        <v>21</v>
      </c>
      <c r="K60" s="153" t="s">
        <v>24</v>
      </c>
      <c r="L60" s="153" t="s">
        <v>23</v>
      </c>
      <c r="M60" s="153">
        <v>2</v>
      </c>
      <c r="N60" s="153" t="s">
        <v>24</v>
      </c>
      <c r="O60" s="153" t="s">
        <v>25</v>
      </c>
      <c r="P60" s="149">
        <f t="shared" si="0"/>
        <v>191.39999999999998</v>
      </c>
      <c r="Q60" s="157" t="s">
        <v>142</v>
      </c>
      <c r="R60" s="155" t="s">
        <v>47</v>
      </c>
      <c r="S60" s="158" t="s">
        <v>28</v>
      </c>
    </row>
    <row r="61" spans="2:19" ht="120" customHeight="1" x14ac:dyDescent="0.35">
      <c r="B61" s="152" t="s">
        <v>16</v>
      </c>
      <c r="C61" s="153" t="s">
        <v>16</v>
      </c>
      <c r="D61" s="154">
        <v>419135461434</v>
      </c>
      <c r="E61" s="157" t="s">
        <v>143</v>
      </c>
      <c r="F61" s="153" t="s">
        <v>18</v>
      </c>
      <c r="G61" s="153" t="s">
        <v>19</v>
      </c>
      <c r="H61" s="155" t="s">
        <v>20</v>
      </c>
      <c r="I61" s="156">
        <v>15.95</v>
      </c>
      <c r="J61" s="153" t="s">
        <v>21</v>
      </c>
      <c r="K61" s="153" t="s">
        <v>24</v>
      </c>
      <c r="L61" s="153" t="s">
        <v>23</v>
      </c>
      <c r="M61" s="153">
        <v>2</v>
      </c>
      <c r="N61" s="153" t="s">
        <v>24</v>
      </c>
      <c r="O61" s="153" t="s">
        <v>25</v>
      </c>
      <c r="P61" s="149">
        <f t="shared" si="0"/>
        <v>191.39999999999998</v>
      </c>
      <c r="Q61" s="157" t="s">
        <v>144</v>
      </c>
      <c r="R61" s="155" t="s">
        <v>47</v>
      </c>
      <c r="S61" s="158" t="s">
        <v>28</v>
      </c>
    </row>
    <row r="62" spans="2:19" ht="120" customHeight="1" x14ac:dyDescent="0.35">
      <c r="B62" s="152" t="s">
        <v>16</v>
      </c>
      <c r="C62" s="153" t="s">
        <v>16</v>
      </c>
      <c r="D62" s="154">
        <v>419135461434</v>
      </c>
      <c r="E62" s="157" t="s">
        <v>145</v>
      </c>
      <c r="F62" s="153" t="s">
        <v>18</v>
      </c>
      <c r="G62" s="153" t="s">
        <v>19</v>
      </c>
      <c r="H62" s="155" t="s">
        <v>20</v>
      </c>
      <c r="I62" s="156">
        <v>15.95</v>
      </c>
      <c r="J62" s="153" t="s">
        <v>21</v>
      </c>
      <c r="K62" s="153" t="s">
        <v>24</v>
      </c>
      <c r="L62" s="153" t="s">
        <v>23</v>
      </c>
      <c r="M62" s="153">
        <v>2</v>
      </c>
      <c r="N62" s="153" t="s">
        <v>24</v>
      </c>
      <c r="O62" s="153" t="s">
        <v>25</v>
      </c>
      <c r="P62" s="149">
        <f t="shared" si="0"/>
        <v>191.39999999999998</v>
      </c>
      <c r="Q62" s="157" t="s">
        <v>146</v>
      </c>
      <c r="R62" s="155" t="s">
        <v>47</v>
      </c>
      <c r="S62" s="158" t="s">
        <v>28</v>
      </c>
    </row>
    <row r="63" spans="2:19" ht="120" customHeight="1" x14ac:dyDescent="0.35">
      <c r="B63" s="152" t="s">
        <v>16</v>
      </c>
      <c r="C63" s="153" t="s">
        <v>16</v>
      </c>
      <c r="D63" s="154">
        <v>419135461434</v>
      </c>
      <c r="E63" s="157" t="s">
        <v>147</v>
      </c>
      <c r="F63" s="153" t="s">
        <v>18</v>
      </c>
      <c r="G63" s="153" t="s">
        <v>19</v>
      </c>
      <c r="H63" s="155" t="s">
        <v>20</v>
      </c>
      <c r="I63" s="156">
        <v>15.95</v>
      </c>
      <c r="J63" s="153" t="s">
        <v>21</v>
      </c>
      <c r="K63" s="153" t="s">
        <v>24</v>
      </c>
      <c r="L63" s="153" t="s">
        <v>23</v>
      </c>
      <c r="M63" s="153">
        <v>2</v>
      </c>
      <c r="N63" s="153" t="s">
        <v>24</v>
      </c>
      <c r="O63" s="153" t="s">
        <v>25</v>
      </c>
      <c r="P63" s="149">
        <f t="shared" si="0"/>
        <v>191.39999999999998</v>
      </c>
      <c r="Q63" s="157" t="s">
        <v>148</v>
      </c>
      <c r="R63" s="155" t="s">
        <v>47</v>
      </c>
      <c r="S63" s="158" t="s">
        <v>28</v>
      </c>
    </row>
    <row r="64" spans="2:19" ht="120" customHeight="1" x14ac:dyDescent="0.35">
      <c r="B64" s="152" t="s">
        <v>16</v>
      </c>
      <c r="C64" s="153" t="s">
        <v>16</v>
      </c>
      <c r="D64" s="154">
        <v>419135461434</v>
      </c>
      <c r="E64" s="157" t="s">
        <v>149</v>
      </c>
      <c r="F64" s="153" t="s">
        <v>18</v>
      </c>
      <c r="G64" s="153" t="s">
        <v>19</v>
      </c>
      <c r="H64" s="155" t="s">
        <v>20</v>
      </c>
      <c r="I64" s="156">
        <v>15.95</v>
      </c>
      <c r="J64" s="153" t="s">
        <v>21</v>
      </c>
      <c r="K64" s="153" t="s">
        <v>24</v>
      </c>
      <c r="L64" s="153" t="s">
        <v>23</v>
      </c>
      <c r="M64" s="153">
        <v>2</v>
      </c>
      <c r="N64" s="153" t="s">
        <v>24</v>
      </c>
      <c r="O64" s="153" t="s">
        <v>25</v>
      </c>
      <c r="P64" s="149">
        <f t="shared" si="0"/>
        <v>191.39999999999998</v>
      </c>
      <c r="Q64" s="157" t="s">
        <v>150</v>
      </c>
      <c r="R64" s="155" t="s">
        <v>47</v>
      </c>
      <c r="S64" s="158" t="s">
        <v>28</v>
      </c>
    </row>
    <row r="65" spans="2:19" ht="120" customHeight="1" x14ac:dyDescent="0.35">
      <c r="B65" s="152" t="s">
        <v>16</v>
      </c>
      <c r="C65" s="153" t="s">
        <v>16</v>
      </c>
      <c r="D65" s="154">
        <v>522814718659</v>
      </c>
      <c r="E65" s="157" t="s">
        <v>151</v>
      </c>
      <c r="F65" s="153" t="s">
        <v>18</v>
      </c>
      <c r="G65" s="153" t="s">
        <v>19</v>
      </c>
      <c r="H65" s="155" t="s">
        <v>20</v>
      </c>
      <c r="I65" s="156">
        <v>15.95</v>
      </c>
      <c r="J65" s="153" t="s">
        <v>21</v>
      </c>
      <c r="K65" s="153" t="s">
        <v>24</v>
      </c>
      <c r="L65" s="153" t="s">
        <v>23</v>
      </c>
      <c r="M65" s="153">
        <v>2</v>
      </c>
      <c r="N65" s="153" t="s">
        <v>24</v>
      </c>
      <c r="O65" s="153" t="s">
        <v>25</v>
      </c>
      <c r="P65" s="149">
        <f t="shared" si="0"/>
        <v>191.39999999999998</v>
      </c>
      <c r="Q65" s="157" t="s">
        <v>152</v>
      </c>
      <c r="R65" s="155" t="s">
        <v>47</v>
      </c>
      <c r="S65" s="158" t="s">
        <v>28</v>
      </c>
    </row>
    <row r="66" spans="2:19" ht="120" customHeight="1" x14ac:dyDescent="0.35">
      <c r="B66" s="152" t="s">
        <v>16</v>
      </c>
      <c r="C66" s="153" t="s">
        <v>16</v>
      </c>
      <c r="D66" s="154">
        <v>608649261817</v>
      </c>
      <c r="E66" s="157" t="s">
        <v>153</v>
      </c>
      <c r="F66" s="153" t="s">
        <v>18</v>
      </c>
      <c r="G66" s="153" t="s">
        <v>19</v>
      </c>
      <c r="H66" s="155" t="s">
        <v>20</v>
      </c>
      <c r="I66" s="156">
        <v>15.95</v>
      </c>
      <c r="J66" s="153" t="s">
        <v>21</v>
      </c>
      <c r="K66" s="153" t="s">
        <v>24</v>
      </c>
      <c r="L66" s="153" t="s">
        <v>23</v>
      </c>
      <c r="M66" s="153">
        <v>2</v>
      </c>
      <c r="N66" s="153" t="s">
        <v>24</v>
      </c>
      <c r="O66" s="153" t="s">
        <v>25</v>
      </c>
      <c r="P66" s="149">
        <f t="shared" si="0"/>
        <v>191.39999999999998</v>
      </c>
      <c r="Q66" s="157" t="s">
        <v>154</v>
      </c>
      <c r="R66" s="155" t="s">
        <v>47</v>
      </c>
      <c r="S66" s="158" t="s">
        <v>28</v>
      </c>
    </row>
    <row r="67" spans="2:19" ht="120" customHeight="1" x14ac:dyDescent="0.35">
      <c r="B67" s="152" t="s">
        <v>16</v>
      </c>
      <c r="C67" s="153" t="s">
        <v>16</v>
      </c>
      <c r="D67" s="154">
        <v>608649261817</v>
      </c>
      <c r="E67" s="157" t="s">
        <v>155</v>
      </c>
      <c r="F67" s="153" t="s">
        <v>18</v>
      </c>
      <c r="G67" s="153" t="s">
        <v>19</v>
      </c>
      <c r="H67" s="155" t="s">
        <v>95</v>
      </c>
      <c r="I67" s="156">
        <v>15.95</v>
      </c>
      <c r="J67" s="153" t="s">
        <v>21</v>
      </c>
      <c r="K67" s="153" t="s">
        <v>24</v>
      </c>
      <c r="L67" s="153" t="s">
        <v>23</v>
      </c>
      <c r="M67" s="153">
        <v>2</v>
      </c>
      <c r="N67" s="153" t="s">
        <v>24</v>
      </c>
      <c r="O67" s="153" t="s">
        <v>25</v>
      </c>
      <c r="P67" s="149">
        <f t="shared" si="0"/>
        <v>191.39999999999998</v>
      </c>
      <c r="Q67" s="157" t="s">
        <v>156</v>
      </c>
      <c r="R67" s="155" t="s">
        <v>47</v>
      </c>
      <c r="S67" s="158" t="s">
        <v>28</v>
      </c>
    </row>
    <row r="68" spans="2:19" ht="120" customHeight="1" x14ac:dyDescent="0.35">
      <c r="B68" s="152" t="s">
        <v>16</v>
      </c>
      <c r="C68" s="153" t="s">
        <v>16</v>
      </c>
      <c r="D68" s="154">
        <v>608649261817</v>
      </c>
      <c r="E68" s="157" t="s">
        <v>157</v>
      </c>
      <c r="F68" s="153" t="s">
        <v>18</v>
      </c>
      <c r="G68" s="153" t="s">
        <v>19</v>
      </c>
      <c r="H68" s="155" t="s">
        <v>20</v>
      </c>
      <c r="I68" s="156">
        <v>15.95</v>
      </c>
      <c r="J68" s="153" t="s">
        <v>21</v>
      </c>
      <c r="K68" s="153" t="s">
        <v>24</v>
      </c>
      <c r="L68" s="153" t="s">
        <v>23</v>
      </c>
      <c r="M68" s="153">
        <v>2</v>
      </c>
      <c r="N68" s="153" t="s">
        <v>24</v>
      </c>
      <c r="O68" s="153" t="s">
        <v>25</v>
      </c>
      <c r="P68" s="149">
        <f t="shared" ref="P68:P131" si="1">(I68*12)</f>
        <v>191.39999999999998</v>
      </c>
      <c r="Q68" s="157" t="s">
        <v>158</v>
      </c>
      <c r="R68" s="155" t="s">
        <v>47</v>
      </c>
      <c r="S68" s="158" t="s">
        <v>28</v>
      </c>
    </row>
    <row r="69" spans="2:19" ht="120" customHeight="1" x14ac:dyDescent="0.35">
      <c r="B69" s="152" t="s">
        <v>16</v>
      </c>
      <c r="C69" s="153" t="s">
        <v>16</v>
      </c>
      <c r="D69" s="154">
        <v>419135461434</v>
      </c>
      <c r="E69" s="157" t="s">
        <v>159</v>
      </c>
      <c r="F69" s="153" t="s">
        <v>30</v>
      </c>
      <c r="G69" s="153" t="s">
        <v>31</v>
      </c>
      <c r="H69" s="155" t="s">
        <v>32</v>
      </c>
      <c r="I69" s="156">
        <v>15.37</v>
      </c>
      <c r="J69" s="153" t="s">
        <v>33</v>
      </c>
      <c r="K69" s="153" t="s">
        <v>24</v>
      </c>
      <c r="L69" s="153" t="s">
        <v>23</v>
      </c>
      <c r="M69" s="153">
        <v>0.5</v>
      </c>
      <c r="N69" s="153" t="s">
        <v>34</v>
      </c>
      <c r="O69" s="153" t="s">
        <v>25</v>
      </c>
      <c r="P69" s="149">
        <f t="shared" si="1"/>
        <v>184.44</v>
      </c>
      <c r="Q69" s="157" t="s">
        <v>160</v>
      </c>
      <c r="R69" s="155" t="s">
        <v>44</v>
      </c>
      <c r="S69" s="158" t="s">
        <v>37</v>
      </c>
    </row>
    <row r="70" spans="2:19" ht="120" customHeight="1" x14ac:dyDescent="0.35">
      <c r="B70" s="152" t="s">
        <v>16</v>
      </c>
      <c r="C70" s="153" t="s">
        <v>16</v>
      </c>
      <c r="D70" s="154">
        <v>512542238830</v>
      </c>
      <c r="E70" s="157" t="s">
        <v>161</v>
      </c>
      <c r="F70" s="153" t="s">
        <v>30</v>
      </c>
      <c r="G70" s="153" t="s">
        <v>31</v>
      </c>
      <c r="H70" s="155" t="s">
        <v>32</v>
      </c>
      <c r="I70" s="156">
        <v>15.37</v>
      </c>
      <c r="J70" s="153" t="s">
        <v>33</v>
      </c>
      <c r="K70" s="153" t="s">
        <v>24</v>
      </c>
      <c r="L70" s="153" t="s">
        <v>23</v>
      </c>
      <c r="M70" s="153">
        <v>0.5</v>
      </c>
      <c r="N70" s="153" t="s">
        <v>34</v>
      </c>
      <c r="O70" s="153" t="s">
        <v>25</v>
      </c>
      <c r="P70" s="149">
        <f t="shared" si="1"/>
        <v>184.44</v>
      </c>
      <c r="Q70" s="157" t="s">
        <v>162</v>
      </c>
      <c r="R70" s="155" t="s">
        <v>44</v>
      </c>
      <c r="S70" s="158" t="s">
        <v>37</v>
      </c>
    </row>
    <row r="71" spans="2:19" ht="120" customHeight="1" x14ac:dyDescent="0.35">
      <c r="B71" s="152" t="s">
        <v>16</v>
      </c>
      <c r="C71" s="153" t="s">
        <v>16</v>
      </c>
      <c r="D71" s="154">
        <v>512542238830</v>
      </c>
      <c r="E71" s="157" t="s">
        <v>163</v>
      </c>
      <c r="F71" s="153" t="s">
        <v>30</v>
      </c>
      <c r="G71" s="153" t="s">
        <v>31</v>
      </c>
      <c r="H71" s="155" t="s">
        <v>32</v>
      </c>
      <c r="I71" s="156">
        <v>15.37</v>
      </c>
      <c r="J71" s="153" t="s">
        <v>33</v>
      </c>
      <c r="K71" s="153" t="s">
        <v>24</v>
      </c>
      <c r="L71" s="153" t="s">
        <v>23</v>
      </c>
      <c r="M71" s="153">
        <v>0.5</v>
      </c>
      <c r="N71" s="153" t="s">
        <v>34</v>
      </c>
      <c r="O71" s="153" t="s">
        <v>25</v>
      </c>
      <c r="P71" s="149">
        <f t="shared" si="1"/>
        <v>184.44</v>
      </c>
      <c r="Q71" s="157" t="s">
        <v>164</v>
      </c>
      <c r="R71" s="155" t="s">
        <v>44</v>
      </c>
      <c r="S71" s="158" t="s">
        <v>37</v>
      </c>
    </row>
    <row r="72" spans="2:19" ht="120" customHeight="1" x14ac:dyDescent="0.35">
      <c r="B72" s="152" t="s">
        <v>16</v>
      </c>
      <c r="C72" s="153" t="s">
        <v>16</v>
      </c>
      <c r="D72" s="154">
        <v>295451572584</v>
      </c>
      <c r="E72" s="157" t="s">
        <v>165</v>
      </c>
      <c r="F72" s="153" t="s">
        <v>18</v>
      </c>
      <c r="G72" s="153" t="s">
        <v>19</v>
      </c>
      <c r="H72" s="155" t="s">
        <v>20</v>
      </c>
      <c r="I72" s="156">
        <v>9.91</v>
      </c>
      <c r="J72" s="153" t="s">
        <v>21</v>
      </c>
      <c r="K72" s="153" t="s">
        <v>24</v>
      </c>
      <c r="L72" s="153" t="s">
        <v>23</v>
      </c>
      <c r="M72" s="153">
        <v>2</v>
      </c>
      <c r="N72" s="153" t="s">
        <v>24</v>
      </c>
      <c r="O72" s="153" t="s">
        <v>25</v>
      </c>
      <c r="P72" s="149">
        <f t="shared" si="1"/>
        <v>118.92</v>
      </c>
      <c r="Q72" s="157" t="s">
        <v>166</v>
      </c>
      <c r="R72" s="155" t="s">
        <v>47</v>
      </c>
      <c r="S72" s="158" t="s">
        <v>28</v>
      </c>
    </row>
    <row r="73" spans="2:19" ht="120" customHeight="1" x14ac:dyDescent="0.35">
      <c r="B73" s="152" t="s">
        <v>16</v>
      </c>
      <c r="C73" s="153" t="s">
        <v>16</v>
      </c>
      <c r="D73" s="154">
        <v>295451572584</v>
      </c>
      <c r="E73" s="157" t="s">
        <v>167</v>
      </c>
      <c r="F73" s="153" t="s">
        <v>18</v>
      </c>
      <c r="G73" s="153" t="s">
        <v>19</v>
      </c>
      <c r="H73" s="155" t="s">
        <v>20</v>
      </c>
      <c r="I73" s="156">
        <v>9.7799999999999994</v>
      </c>
      <c r="J73" s="153" t="s">
        <v>21</v>
      </c>
      <c r="K73" s="153" t="s">
        <v>24</v>
      </c>
      <c r="L73" s="153" t="s">
        <v>23</v>
      </c>
      <c r="M73" s="153">
        <v>2</v>
      </c>
      <c r="N73" s="153" t="s">
        <v>24</v>
      </c>
      <c r="O73" s="153" t="s">
        <v>25</v>
      </c>
      <c r="P73" s="149">
        <f t="shared" si="1"/>
        <v>117.35999999999999</v>
      </c>
      <c r="Q73" s="157" t="s">
        <v>168</v>
      </c>
      <c r="R73" s="155" t="s">
        <v>47</v>
      </c>
      <c r="S73" s="158" t="s">
        <v>28</v>
      </c>
    </row>
    <row r="74" spans="2:19" ht="120" customHeight="1" x14ac:dyDescent="0.35">
      <c r="B74" s="152" t="s">
        <v>16</v>
      </c>
      <c r="C74" s="153" t="s">
        <v>16</v>
      </c>
      <c r="D74" s="154">
        <v>277391387317</v>
      </c>
      <c r="E74" s="157" t="s">
        <v>169</v>
      </c>
      <c r="F74" s="153" t="s">
        <v>30</v>
      </c>
      <c r="G74" s="153" t="s">
        <v>31</v>
      </c>
      <c r="H74" s="155" t="s">
        <v>32</v>
      </c>
      <c r="I74" s="156">
        <v>9.6999999999999993</v>
      </c>
      <c r="J74" s="153" t="s">
        <v>33</v>
      </c>
      <c r="K74" s="153" t="s">
        <v>24</v>
      </c>
      <c r="L74" s="153" t="s">
        <v>23</v>
      </c>
      <c r="M74" s="153">
        <v>0.5</v>
      </c>
      <c r="N74" s="153" t="s">
        <v>34</v>
      </c>
      <c r="O74" s="153" t="s">
        <v>25</v>
      </c>
      <c r="P74" s="149">
        <f t="shared" si="1"/>
        <v>116.39999999999999</v>
      </c>
      <c r="Q74" s="157" t="s">
        <v>170</v>
      </c>
      <c r="R74" s="155" t="s">
        <v>44</v>
      </c>
      <c r="S74" s="158" t="s">
        <v>37</v>
      </c>
    </row>
    <row r="75" spans="2:19" ht="120" customHeight="1" x14ac:dyDescent="0.35">
      <c r="B75" s="152" t="s">
        <v>16</v>
      </c>
      <c r="C75" s="153" t="s">
        <v>16</v>
      </c>
      <c r="D75" s="154">
        <v>608649261817</v>
      </c>
      <c r="E75" s="157" t="s">
        <v>171</v>
      </c>
      <c r="F75" s="153" t="s">
        <v>30</v>
      </c>
      <c r="G75" s="153" t="s">
        <v>31</v>
      </c>
      <c r="H75" s="155" t="s">
        <v>32</v>
      </c>
      <c r="I75" s="156">
        <v>7.68</v>
      </c>
      <c r="J75" s="153" t="s">
        <v>33</v>
      </c>
      <c r="K75" s="153" t="s">
        <v>24</v>
      </c>
      <c r="L75" s="153" t="s">
        <v>23</v>
      </c>
      <c r="M75" s="153">
        <v>0.5</v>
      </c>
      <c r="N75" s="153" t="s">
        <v>34</v>
      </c>
      <c r="O75" s="153" t="s">
        <v>25</v>
      </c>
      <c r="P75" s="149">
        <f t="shared" si="1"/>
        <v>92.16</v>
      </c>
      <c r="Q75" s="157" t="s">
        <v>172</v>
      </c>
      <c r="R75" s="155" t="s">
        <v>44</v>
      </c>
      <c r="S75" s="158" t="s">
        <v>37</v>
      </c>
    </row>
    <row r="76" spans="2:19" ht="120" customHeight="1" x14ac:dyDescent="0.35">
      <c r="B76" s="152" t="s">
        <v>16</v>
      </c>
      <c r="C76" s="153" t="s">
        <v>16</v>
      </c>
      <c r="D76" s="154">
        <v>608649261817</v>
      </c>
      <c r="E76" s="157" t="s">
        <v>173</v>
      </c>
      <c r="F76" s="153" t="s">
        <v>30</v>
      </c>
      <c r="G76" s="153" t="s">
        <v>31</v>
      </c>
      <c r="H76" s="155" t="s">
        <v>32</v>
      </c>
      <c r="I76" s="156">
        <v>7.68</v>
      </c>
      <c r="J76" s="153" t="s">
        <v>33</v>
      </c>
      <c r="K76" s="153" t="s">
        <v>24</v>
      </c>
      <c r="L76" s="153" t="s">
        <v>23</v>
      </c>
      <c r="M76" s="153">
        <v>0.5</v>
      </c>
      <c r="N76" s="153" t="s">
        <v>34</v>
      </c>
      <c r="O76" s="153" t="s">
        <v>25</v>
      </c>
      <c r="P76" s="149">
        <f t="shared" si="1"/>
        <v>92.16</v>
      </c>
      <c r="Q76" s="157" t="s">
        <v>174</v>
      </c>
      <c r="R76" s="155" t="s">
        <v>44</v>
      </c>
      <c r="S76" s="158" t="s">
        <v>37</v>
      </c>
    </row>
    <row r="77" spans="2:19" ht="120" customHeight="1" x14ac:dyDescent="0.35">
      <c r="B77" s="152" t="s">
        <v>16</v>
      </c>
      <c r="C77" s="153" t="s">
        <v>16</v>
      </c>
      <c r="D77" s="154">
        <v>608649261817</v>
      </c>
      <c r="E77" s="157" t="s">
        <v>175</v>
      </c>
      <c r="F77" s="153" t="s">
        <v>30</v>
      </c>
      <c r="G77" s="153" t="s">
        <v>31</v>
      </c>
      <c r="H77" s="155" t="s">
        <v>32</v>
      </c>
      <c r="I77" s="156">
        <v>7.68</v>
      </c>
      <c r="J77" s="153" t="s">
        <v>33</v>
      </c>
      <c r="K77" s="153" t="s">
        <v>24</v>
      </c>
      <c r="L77" s="153" t="s">
        <v>23</v>
      </c>
      <c r="M77" s="153">
        <v>0.5</v>
      </c>
      <c r="N77" s="153" t="s">
        <v>34</v>
      </c>
      <c r="O77" s="153" t="s">
        <v>25</v>
      </c>
      <c r="P77" s="149">
        <f t="shared" si="1"/>
        <v>92.16</v>
      </c>
      <c r="Q77" s="157" t="s">
        <v>176</v>
      </c>
      <c r="R77" s="155" t="s">
        <v>44</v>
      </c>
      <c r="S77" s="158" t="s">
        <v>37</v>
      </c>
    </row>
    <row r="78" spans="2:19" ht="120" customHeight="1" x14ac:dyDescent="0.35">
      <c r="B78" s="152" t="s">
        <v>16</v>
      </c>
      <c r="C78" s="153" t="s">
        <v>16</v>
      </c>
      <c r="D78" s="154">
        <v>608649261817</v>
      </c>
      <c r="E78" s="157" t="s">
        <v>177</v>
      </c>
      <c r="F78" s="153" t="s">
        <v>30</v>
      </c>
      <c r="G78" s="153" t="s">
        <v>31</v>
      </c>
      <c r="H78" s="155" t="s">
        <v>32</v>
      </c>
      <c r="I78" s="156">
        <v>7.42</v>
      </c>
      <c r="J78" s="153" t="s">
        <v>33</v>
      </c>
      <c r="K78" s="153" t="s">
        <v>24</v>
      </c>
      <c r="L78" s="153" t="s">
        <v>23</v>
      </c>
      <c r="M78" s="153">
        <v>0.5</v>
      </c>
      <c r="N78" s="153" t="s">
        <v>34</v>
      </c>
      <c r="O78" s="153" t="s">
        <v>25</v>
      </c>
      <c r="P78" s="149">
        <f t="shared" si="1"/>
        <v>89.039999999999992</v>
      </c>
      <c r="Q78" s="157" t="s">
        <v>178</v>
      </c>
      <c r="R78" s="155" t="s">
        <v>44</v>
      </c>
      <c r="S78" s="158" t="s">
        <v>37</v>
      </c>
    </row>
    <row r="79" spans="2:19" ht="120" customHeight="1" x14ac:dyDescent="0.35">
      <c r="B79" s="152" t="s">
        <v>16</v>
      </c>
      <c r="C79" s="153" t="s">
        <v>16</v>
      </c>
      <c r="D79" s="154">
        <v>608649261817</v>
      </c>
      <c r="E79" s="157" t="s">
        <v>179</v>
      </c>
      <c r="F79" s="153" t="s">
        <v>30</v>
      </c>
      <c r="G79" s="153" t="s">
        <v>31</v>
      </c>
      <c r="H79" s="155" t="s">
        <v>32</v>
      </c>
      <c r="I79" s="156">
        <v>7.42</v>
      </c>
      <c r="J79" s="153" t="s">
        <v>33</v>
      </c>
      <c r="K79" s="153" t="s">
        <v>24</v>
      </c>
      <c r="L79" s="153" t="s">
        <v>23</v>
      </c>
      <c r="M79" s="153">
        <v>0.5</v>
      </c>
      <c r="N79" s="153" t="s">
        <v>34</v>
      </c>
      <c r="O79" s="153" t="s">
        <v>25</v>
      </c>
      <c r="P79" s="149">
        <f t="shared" si="1"/>
        <v>89.039999999999992</v>
      </c>
      <c r="Q79" s="157" t="s">
        <v>180</v>
      </c>
      <c r="R79" s="155" t="s">
        <v>44</v>
      </c>
      <c r="S79" s="158" t="s">
        <v>37</v>
      </c>
    </row>
    <row r="80" spans="2:19" ht="120" customHeight="1" x14ac:dyDescent="0.35">
      <c r="B80" s="152" t="s">
        <v>16</v>
      </c>
      <c r="C80" s="153" t="s">
        <v>16</v>
      </c>
      <c r="D80" s="154">
        <v>608649261817</v>
      </c>
      <c r="E80" s="157" t="s">
        <v>181</v>
      </c>
      <c r="F80" s="153" t="s">
        <v>30</v>
      </c>
      <c r="G80" s="153" t="s">
        <v>31</v>
      </c>
      <c r="H80" s="155" t="s">
        <v>32</v>
      </c>
      <c r="I80" s="156">
        <v>7.42</v>
      </c>
      <c r="J80" s="153" t="s">
        <v>33</v>
      </c>
      <c r="K80" s="153" t="s">
        <v>24</v>
      </c>
      <c r="L80" s="153" t="s">
        <v>23</v>
      </c>
      <c r="M80" s="153">
        <v>0.5</v>
      </c>
      <c r="N80" s="153" t="s">
        <v>34</v>
      </c>
      <c r="O80" s="153" t="s">
        <v>25</v>
      </c>
      <c r="P80" s="149">
        <f t="shared" si="1"/>
        <v>89.039999999999992</v>
      </c>
      <c r="Q80" s="157" t="s">
        <v>182</v>
      </c>
      <c r="R80" s="155" t="s">
        <v>44</v>
      </c>
      <c r="S80" s="158" t="s">
        <v>37</v>
      </c>
    </row>
    <row r="81" spans="2:19" ht="120" customHeight="1" x14ac:dyDescent="0.35">
      <c r="B81" s="152" t="s">
        <v>16</v>
      </c>
      <c r="C81" s="153" t="s">
        <v>16</v>
      </c>
      <c r="D81" s="154">
        <v>585008064350</v>
      </c>
      <c r="E81" s="157" t="s">
        <v>183</v>
      </c>
      <c r="F81" s="153" t="s">
        <v>18</v>
      </c>
      <c r="G81" s="153" t="s">
        <v>19</v>
      </c>
      <c r="H81" s="155" t="s">
        <v>20</v>
      </c>
      <c r="I81" s="156">
        <v>5.97</v>
      </c>
      <c r="J81" s="153" t="s">
        <v>21</v>
      </c>
      <c r="K81" s="153" t="s">
        <v>24</v>
      </c>
      <c r="L81" s="153" t="s">
        <v>23</v>
      </c>
      <c r="M81" s="153">
        <v>2</v>
      </c>
      <c r="N81" s="153" t="s">
        <v>24</v>
      </c>
      <c r="O81" s="153" t="s">
        <v>25</v>
      </c>
      <c r="P81" s="149">
        <f t="shared" si="1"/>
        <v>71.64</v>
      </c>
      <c r="Q81" s="157" t="s">
        <v>184</v>
      </c>
      <c r="R81" s="155" t="s">
        <v>47</v>
      </c>
      <c r="S81" s="158" t="s">
        <v>28</v>
      </c>
    </row>
    <row r="82" spans="2:19" ht="120" customHeight="1" x14ac:dyDescent="0.35">
      <c r="B82" s="152" t="s">
        <v>16</v>
      </c>
      <c r="C82" s="153" t="s">
        <v>16</v>
      </c>
      <c r="D82" s="154">
        <v>512542238830</v>
      </c>
      <c r="E82" s="157" t="s">
        <v>185</v>
      </c>
      <c r="F82" s="153" t="s">
        <v>30</v>
      </c>
      <c r="G82" s="153" t="s">
        <v>31</v>
      </c>
      <c r="H82" s="155" t="s">
        <v>32</v>
      </c>
      <c r="I82" s="156">
        <v>4.6100000000000003</v>
      </c>
      <c r="J82" s="153" t="s">
        <v>33</v>
      </c>
      <c r="K82" s="153" t="s">
        <v>34</v>
      </c>
      <c r="L82" s="153" t="s">
        <v>23</v>
      </c>
      <c r="M82" s="153">
        <v>0.5</v>
      </c>
      <c r="N82" s="153" t="s">
        <v>34</v>
      </c>
      <c r="O82" s="153" t="s">
        <v>25</v>
      </c>
      <c r="P82" s="149">
        <f t="shared" si="1"/>
        <v>55.320000000000007</v>
      </c>
      <c r="Q82" s="157" t="s">
        <v>186</v>
      </c>
      <c r="R82" s="155" t="s">
        <v>44</v>
      </c>
      <c r="S82" s="158" t="s">
        <v>37</v>
      </c>
    </row>
    <row r="83" spans="2:19" ht="120" customHeight="1" x14ac:dyDescent="0.35">
      <c r="B83" s="152" t="s">
        <v>16</v>
      </c>
      <c r="C83" s="153" t="s">
        <v>16</v>
      </c>
      <c r="D83" s="154">
        <v>512542238830</v>
      </c>
      <c r="E83" s="157" t="s">
        <v>187</v>
      </c>
      <c r="F83" s="153" t="s">
        <v>30</v>
      </c>
      <c r="G83" s="153" t="s">
        <v>31</v>
      </c>
      <c r="H83" s="155" t="s">
        <v>32</v>
      </c>
      <c r="I83" s="156">
        <v>4.6100000000000003</v>
      </c>
      <c r="J83" s="153" t="s">
        <v>33</v>
      </c>
      <c r="K83" s="153" t="s">
        <v>34</v>
      </c>
      <c r="L83" s="153" t="s">
        <v>23</v>
      </c>
      <c r="M83" s="153">
        <v>0.5</v>
      </c>
      <c r="N83" s="153" t="s">
        <v>34</v>
      </c>
      <c r="O83" s="153" t="s">
        <v>25</v>
      </c>
      <c r="P83" s="149">
        <f t="shared" si="1"/>
        <v>55.320000000000007</v>
      </c>
      <c r="Q83" s="157" t="s">
        <v>188</v>
      </c>
      <c r="R83" s="155" t="s">
        <v>44</v>
      </c>
      <c r="S83" s="158" t="s">
        <v>37</v>
      </c>
    </row>
    <row r="84" spans="2:19" ht="120" customHeight="1" x14ac:dyDescent="0.35">
      <c r="B84" s="152" t="s">
        <v>16</v>
      </c>
      <c r="C84" s="153" t="s">
        <v>16</v>
      </c>
      <c r="D84" s="154">
        <v>512542238830</v>
      </c>
      <c r="E84" s="157" t="s">
        <v>189</v>
      </c>
      <c r="F84" s="153" t="s">
        <v>30</v>
      </c>
      <c r="G84" s="153" t="s">
        <v>31</v>
      </c>
      <c r="H84" s="155" t="s">
        <v>32</v>
      </c>
      <c r="I84" s="156">
        <v>4.6100000000000003</v>
      </c>
      <c r="J84" s="153" t="s">
        <v>33</v>
      </c>
      <c r="K84" s="153" t="s">
        <v>34</v>
      </c>
      <c r="L84" s="153" t="s">
        <v>23</v>
      </c>
      <c r="M84" s="153">
        <v>0.5</v>
      </c>
      <c r="N84" s="153" t="s">
        <v>34</v>
      </c>
      <c r="O84" s="153" t="s">
        <v>25</v>
      </c>
      <c r="P84" s="149">
        <f t="shared" si="1"/>
        <v>55.320000000000007</v>
      </c>
      <c r="Q84" s="157" t="s">
        <v>190</v>
      </c>
      <c r="R84" s="155" t="s">
        <v>44</v>
      </c>
      <c r="S84" s="158" t="s">
        <v>37</v>
      </c>
    </row>
    <row r="85" spans="2:19" ht="120" customHeight="1" x14ac:dyDescent="0.35">
      <c r="B85" s="152" t="s">
        <v>16</v>
      </c>
      <c r="C85" s="153" t="s">
        <v>16</v>
      </c>
      <c r="D85" s="154">
        <v>512542238830</v>
      </c>
      <c r="E85" s="157" t="s">
        <v>191</v>
      </c>
      <c r="F85" s="153" t="s">
        <v>30</v>
      </c>
      <c r="G85" s="153" t="s">
        <v>31</v>
      </c>
      <c r="H85" s="155" t="s">
        <v>32</v>
      </c>
      <c r="I85" s="156">
        <v>4.6100000000000003</v>
      </c>
      <c r="J85" s="153" t="s">
        <v>33</v>
      </c>
      <c r="K85" s="153" t="s">
        <v>34</v>
      </c>
      <c r="L85" s="153" t="s">
        <v>23</v>
      </c>
      <c r="M85" s="153">
        <v>0.5</v>
      </c>
      <c r="N85" s="153" t="s">
        <v>34</v>
      </c>
      <c r="O85" s="153" t="s">
        <v>25</v>
      </c>
      <c r="P85" s="149">
        <f t="shared" si="1"/>
        <v>55.320000000000007</v>
      </c>
      <c r="Q85" s="157" t="s">
        <v>192</v>
      </c>
      <c r="R85" s="155" t="s">
        <v>44</v>
      </c>
      <c r="S85" s="158" t="s">
        <v>37</v>
      </c>
    </row>
    <row r="86" spans="2:19" ht="120" customHeight="1" x14ac:dyDescent="0.35">
      <c r="B86" s="152" t="s">
        <v>16</v>
      </c>
      <c r="C86" s="153" t="s">
        <v>16</v>
      </c>
      <c r="D86" s="154">
        <v>512542238830</v>
      </c>
      <c r="E86" s="157" t="s">
        <v>193</v>
      </c>
      <c r="F86" s="153" t="s">
        <v>30</v>
      </c>
      <c r="G86" s="153" t="s">
        <v>31</v>
      </c>
      <c r="H86" s="155" t="s">
        <v>32</v>
      </c>
      <c r="I86" s="156">
        <v>4.6100000000000003</v>
      </c>
      <c r="J86" s="153" t="s">
        <v>33</v>
      </c>
      <c r="K86" s="153" t="s">
        <v>34</v>
      </c>
      <c r="L86" s="153" t="s">
        <v>23</v>
      </c>
      <c r="M86" s="153">
        <v>0.5</v>
      </c>
      <c r="N86" s="153" t="s">
        <v>34</v>
      </c>
      <c r="O86" s="153" t="s">
        <v>25</v>
      </c>
      <c r="P86" s="149">
        <f t="shared" si="1"/>
        <v>55.320000000000007</v>
      </c>
      <c r="Q86" s="157" t="s">
        <v>194</v>
      </c>
      <c r="R86" s="155" t="s">
        <v>44</v>
      </c>
      <c r="S86" s="158" t="s">
        <v>37</v>
      </c>
    </row>
    <row r="87" spans="2:19" ht="120" customHeight="1" x14ac:dyDescent="0.35">
      <c r="B87" s="152" t="s">
        <v>16</v>
      </c>
      <c r="C87" s="153" t="s">
        <v>16</v>
      </c>
      <c r="D87" s="154">
        <v>512542238830</v>
      </c>
      <c r="E87" s="157" t="s">
        <v>195</v>
      </c>
      <c r="F87" s="153" t="s">
        <v>30</v>
      </c>
      <c r="G87" s="153" t="s">
        <v>31</v>
      </c>
      <c r="H87" s="155" t="s">
        <v>32</v>
      </c>
      <c r="I87" s="156">
        <v>4.04</v>
      </c>
      <c r="J87" s="153" t="s">
        <v>33</v>
      </c>
      <c r="K87" s="153" t="s">
        <v>34</v>
      </c>
      <c r="L87" s="153" t="s">
        <v>23</v>
      </c>
      <c r="M87" s="153">
        <v>0.5</v>
      </c>
      <c r="N87" s="153" t="s">
        <v>34</v>
      </c>
      <c r="O87" s="153" t="s">
        <v>25</v>
      </c>
      <c r="P87" s="149">
        <f t="shared" si="1"/>
        <v>48.480000000000004</v>
      </c>
      <c r="Q87" s="157" t="s">
        <v>196</v>
      </c>
      <c r="R87" s="155" t="s">
        <v>44</v>
      </c>
      <c r="S87" s="158" t="s">
        <v>37</v>
      </c>
    </row>
    <row r="88" spans="2:19" ht="120" customHeight="1" x14ac:dyDescent="0.35">
      <c r="B88" s="152" t="s">
        <v>16</v>
      </c>
      <c r="C88" s="153" t="s">
        <v>16</v>
      </c>
      <c r="D88" s="154">
        <v>512542238830</v>
      </c>
      <c r="E88" s="157" t="s">
        <v>197</v>
      </c>
      <c r="F88" s="153" t="s">
        <v>30</v>
      </c>
      <c r="G88" s="153" t="s">
        <v>31</v>
      </c>
      <c r="H88" s="155" t="s">
        <v>32</v>
      </c>
      <c r="I88" s="156">
        <v>4.04</v>
      </c>
      <c r="J88" s="153" t="s">
        <v>33</v>
      </c>
      <c r="K88" s="153" t="s">
        <v>34</v>
      </c>
      <c r="L88" s="153" t="s">
        <v>23</v>
      </c>
      <c r="M88" s="153">
        <v>0.5</v>
      </c>
      <c r="N88" s="153" t="s">
        <v>34</v>
      </c>
      <c r="O88" s="153" t="s">
        <v>25</v>
      </c>
      <c r="P88" s="149">
        <f t="shared" si="1"/>
        <v>48.480000000000004</v>
      </c>
      <c r="Q88" s="157" t="s">
        <v>198</v>
      </c>
      <c r="R88" s="155" t="s">
        <v>44</v>
      </c>
      <c r="S88" s="158" t="s">
        <v>37</v>
      </c>
    </row>
    <row r="89" spans="2:19" ht="120" customHeight="1" x14ac:dyDescent="0.35">
      <c r="B89" s="152" t="s">
        <v>16</v>
      </c>
      <c r="C89" s="153" t="s">
        <v>16</v>
      </c>
      <c r="D89" s="154">
        <v>277391387317</v>
      </c>
      <c r="E89" s="157" t="s">
        <v>199</v>
      </c>
      <c r="F89" s="153" t="s">
        <v>30</v>
      </c>
      <c r="G89" s="153" t="s">
        <v>31</v>
      </c>
      <c r="H89" s="155" t="s">
        <v>32</v>
      </c>
      <c r="I89" s="156">
        <v>2.2999999999999998</v>
      </c>
      <c r="J89" s="153" t="s">
        <v>33</v>
      </c>
      <c r="K89" s="153" t="s">
        <v>34</v>
      </c>
      <c r="L89" s="153" t="s">
        <v>23</v>
      </c>
      <c r="M89" s="153">
        <v>0.5</v>
      </c>
      <c r="N89" s="153" t="s">
        <v>34</v>
      </c>
      <c r="O89" s="153" t="s">
        <v>25</v>
      </c>
      <c r="P89" s="149">
        <f t="shared" si="1"/>
        <v>27.599999999999998</v>
      </c>
      <c r="Q89" s="157" t="s">
        <v>200</v>
      </c>
      <c r="R89" s="155" t="s">
        <v>44</v>
      </c>
      <c r="S89" s="158" t="s">
        <v>37</v>
      </c>
    </row>
    <row r="90" spans="2:19" ht="120" customHeight="1" x14ac:dyDescent="0.35">
      <c r="B90" s="152" t="s">
        <v>16</v>
      </c>
      <c r="C90" s="153" t="s">
        <v>16</v>
      </c>
      <c r="D90" s="154">
        <v>608649261817</v>
      </c>
      <c r="E90" s="157" t="s">
        <v>201</v>
      </c>
      <c r="F90" s="153" t="s">
        <v>30</v>
      </c>
      <c r="G90" s="153" t="s">
        <v>31</v>
      </c>
      <c r="H90" s="155" t="s">
        <v>32</v>
      </c>
      <c r="I90" s="156">
        <v>2.2999999999999998</v>
      </c>
      <c r="J90" s="153" t="s">
        <v>33</v>
      </c>
      <c r="K90" s="153" t="s">
        <v>34</v>
      </c>
      <c r="L90" s="153" t="s">
        <v>23</v>
      </c>
      <c r="M90" s="153">
        <v>0.5</v>
      </c>
      <c r="N90" s="153" t="s">
        <v>34</v>
      </c>
      <c r="O90" s="153" t="s">
        <v>25</v>
      </c>
      <c r="P90" s="149">
        <f t="shared" si="1"/>
        <v>27.599999999999998</v>
      </c>
      <c r="Q90" s="157" t="s">
        <v>202</v>
      </c>
      <c r="R90" s="155" t="s">
        <v>44</v>
      </c>
      <c r="S90" s="158" t="s">
        <v>37</v>
      </c>
    </row>
    <row r="91" spans="2:19" ht="120" customHeight="1" x14ac:dyDescent="0.35">
      <c r="B91" s="152" t="s">
        <v>16</v>
      </c>
      <c r="C91" s="153" t="s">
        <v>16</v>
      </c>
      <c r="D91" s="154">
        <v>277391387317</v>
      </c>
      <c r="E91" s="157" t="s">
        <v>203</v>
      </c>
      <c r="F91" s="153" t="s">
        <v>30</v>
      </c>
      <c r="G91" s="153" t="s">
        <v>31</v>
      </c>
      <c r="H91" s="155" t="s">
        <v>32</v>
      </c>
      <c r="I91" s="156">
        <v>2.23</v>
      </c>
      <c r="J91" s="153" t="s">
        <v>33</v>
      </c>
      <c r="K91" s="153" t="s">
        <v>34</v>
      </c>
      <c r="L91" s="153" t="s">
        <v>23</v>
      </c>
      <c r="M91" s="153">
        <v>0.5</v>
      </c>
      <c r="N91" s="153" t="s">
        <v>34</v>
      </c>
      <c r="O91" s="153" t="s">
        <v>25</v>
      </c>
      <c r="P91" s="149">
        <f t="shared" si="1"/>
        <v>26.759999999999998</v>
      </c>
      <c r="Q91" s="157" t="s">
        <v>204</v>
      </c>
      <c r="R91" s="155" t="s">
        <v>44</v>
      </c>
      <c r="S91" s="158" t="s">
        <v>37</v>
      </c>
    </row>
    <row r="92" spans="2:19" ht="120" customHeight="1" x14ac:dyDescent="0.35">
      <c r="B92" s="152" t="s">
        <v>16</v>
      </c>
      <c r="C92" s="153" t="s">
        <v>16</v>
      </c>
      <c r="D92" s="154">
        <v>277391387317</v>
      </c>
      <c r="E92" s="157" t="s">
        <v>205</v>
      </c>
      <c r="F92" s="153" t="s">
        <v>30</v>
      </c>
      <c r="G92" s="153" t="s">
        <v>31</v>
      </c>
      <c r="H92" s="155" t="s">
        <v>32</v>
      </c>
      <c r="I92" s="156">
        <v>1.92</v>
      </c>
      <c r="J92" s="153" t="s">
        <v>33</v>
      </c>
      <c r="K92" s="153" t="s">
        <v>34</v>
      </c>
      <c r="L92" s="153" t="s">
        <v>23</v>
      </c>
      <c r="M92" s="153">
        <v>0.5</v>
      </c>
      <c r="N92" s="153" t="s">
        <v>34</v>
      </c>
      <c r="O92" s="153" t="s">
        <v>25</v>
      </c>
      <c r="P92" s="149">
        <f t="shared" si="1"/>
        <v>23.04</v>
      </c>
      <c r="Q92" s="157" t="s">
        <v>206</v>
      </c>
      <c r="R92" s="155" t="s">
        <v>44</v>
      </c>
      <c r="S92" s="158" t="s">
        <v>37</v>
      </c>
    </row>
    <row r="93" spans="2:19" ht="120" customHeight="1" x14ac:dyDescent="0.35">
      <c r="B93" s="152" t="s">
        <v>16</v>
      </c>
      <c r="C93" s="153" t="s">
        <v>16</v>
      </c>
      <c r="D93" s="154">
        <v>419135461434</v>
      </c>
      <c r="E93" s="157" t="s">
        <v>207</v>
      </c>
      <c r="F93" s="153" t="s">
        <v>30</v>
      </c>
      <c r="G93" s="153" t="s">
        <v>31</v>
      </c>
      <c r="H93" s="155" t="s">
        <v>32</v>
      </c>
      <c r="I93" s="156">
        <v>1.54</v>
      </c>
      <c r="J93" s="153" t="s">
        <v>33</v>
      </c>
      <c r="K93" s="153" t="s">
        <v>34</v>
      </c>
      <c r="L93" s="153" t="s">
        <v>23</v>
      </c>
      <c r="M93" s="153">
        <v>0.5</v>
      </c>
      <c r="N93" s="153" t="s">
        <v>34</v>
      </c>
      <c r="O93" s="153" t="s">
        <v>25</v>
      </c>
      <c r="P93" s="149">
        <f t="shared" si="1"/>
        <v>18.48</v>
      </c>
      <c r="Q93" s="157" t="s">
        <v>208</v>
      </c>
      <c r="R93" s="155" t="s">
        <v>44</v>
      </c>
      <c r="S93" s="158" t="s">
        <v>37</v>
      </c>
    </row>
    <row r="94" spans="2:19" ht="120" customHeight="1" x14ac:dyDescent="0.35">
      <c r="B94" s="152" t="s">
        <v>16</v>
      </c>
      <c r="C94" s="153" t="s">
        <v>16</v>
      </c>
      <c r="D94" s="154">
        <v>419135461434</v>
      </c>
      <c r="E94" s="157" t="s">
        <v>209</v>
      </c>
      <c r="F94" s="153" t="s">
        <v>30</v>
      </c>
      <c r="G94" s="153" t="s">
        <v>31</v>
      </c>
      <c r="H94" s="155" t="s">
        <v>32</v>
      </c>
      <c r="I94" s="156">
        <v>1.54</v>
      </c>
      <c r="J94" s="153" t="s">
        <v>33</v>
      </c>
      <c r="K94" s="153" t="s">
        <v>34</v>
      </c>
      <c r="L94" s="153" t="s">
        <v>23</v>
      </c>
      <c r="M94" s="153">
        <v>0.5</v>
      </c>
      <c r="N94" s="153" t="s">
        <v>34</v>
      </c>
      <c r="O94" s="153" t="s">
        <v>25</v>
      </c>
      <c r="P94" s="149">
        <f t="shared" si="1"/>
        <v>18.48</v>
      </c>
      <c r="Q94" s="157" t="s">
        <v>210</v>
      </c>
      <c r="R94" s="155" t="s">
        <v>44</v>
      </c>
      <c r="S94" s="158" t="s">
        <v>37</v>
      </c>
    </row>
    <row r="95" spans="2:19" ht="120" customHeight="1" x14ac:dyDescent="0.35">
      <c r="B95" s="152" t="s">
        <v>16</v>
      </c>
      <c r="C95" s="153" t="s">
        <v>16</v>
      </c>
      <c r="D95" s="154">
        <v>419135461434</v>
      </c>
      <c r="E95" s="157" t="s">
        <v>211</v>
      </c>
      <c r="F95" s="153" t="s">
        <v>30</v>
      </c>
      <c r="G95" s="153" t="s">
        <v>31</v>
      </c>
      <c r="H95" s="155" t="s">
        <v>32</v>
      </c>
      <c r="I95" s="156">
        <v>1.54</v>
      </c>
      <c r="J95" s="153" t="s">
        <v>33</v>
      </c>
      <c r="K95" s="153" t="s">
        <v>34</v>
      </c>
      <c r="L95" s="153" t="s">
        <v>23</v>
      </c>
      <c r="M95" s="153">
        <v>0.5</v>
      </c>
      <c r="N95" s="153" t="s">
        <v>34</v>
      </c>
      <c r="O95" s="153" t="s">
        <v>25</v>
      </c>
      <c r="P95" s="149">
        <f t="shared" si="1"/>
        <v>18.48</v>
      </c>
      <c r="Q95" s="157" t="s">
        <v>212</v>
      </c>
      <c r="R95" s="155" t="s">
        <v>44</v>
      </c>
      <c r="S95" s="158" t="s">
        <v>37</v>
      </c>
    </row>
    <row r="96" spans="2:19" ht="120" customHeight="1" x14ac:dyDescent="0.35">
      <c r="B96" s="152" t="s">
        <v>16</v>
      </c>
      <c r="C96" s="153" t="s">
        <v>16</v>
      </c>
      <c r="D96" s="154">
        <v>419135461434</v>
      </c>
      <c r="E96" s="157" t="s">
        <v>213</v>
      </c>
      <c r="F96" s="153" t="s">
        <v>30</v>
      </c>
      <c r="G96" s="153" t="s">
        <v>31</v>
      </c>
      <c r="H96" s="155" t="s">
        <v>32</v>
      </c>
      <c r="I96" s="156">
        <v>1.54</v>
      </c>
      <c r="J96" s="153" t="s">
        <v>33</v>
      </c>
      <c r="K96" s="153" t="s">
        <v>34</v>
      </c>
      <c r="L96" s="153" t="s">
        <v>23</v>
      </c>
      <c r="M96" s="153">
        <v>0.5</v>
      </c>
      <c r="N96" s="153" t="s">
        <v>34</v>
      </c>
      <c r="O96" s="153" t="s">
        <v>25</v>
      </c>
      <c r="P96" s="149">
        <f t="shared" si="1"/>
        <v>18.48</v>
      </c>
      <c r="Q96" s="157" t="s">
        <v>214</v>
      </c>
      <c r="R96" s="155" t="s">
        <v>44</v>
      </c>
      <c r="S96" s="158" t="s">
        <v>37</v>
      </c>
    </row>
    <row r="97" spans="2:19" ht="120" customHeight="1" x14ac:dyDescent="0.35">
      <c r="B97" s="152" t="s">
        <v>16</v>
      </c>
      <c r="C97" s="153" t="s">
        <v>16</v>
      </c>
      <c r="D97" s="154">
        <v>277391387317</v>
      </c>
      <c r="E97" s="157" t="s">
        <v>215</v>
      </c>
      <c r="F97" s="153" t="s">
        <v>30</v>
      </c>
      <c r="G97" s="153" t="s">
        <v>31</v>
      </c>
      <c r="H97" s="155" t="s">
        <v>32</v>
      </c>
      <c r="I97" s="156">
        <v>0.74</v>
      </c>
      <c r="J97" s="153" t="s">
        <v>33</v>
      </c>
      <c r="K97" s="153" t="s">
        <v>34</v>
      </c>
      <c r="L97" s="153" t="s">
        <v>23</v>
      </c>
      <c r="M97" s="153">
        <v>0.5</v>
      </c>
      <c r="N97" s="153" t="s">
        <v>34</v>
      </c>
      <c r="O97" s="153" t="s">
        <v>25</v>
      </c>
      <c r="P97" s="149">
        <f t="shared" si="1"/>
        <v>8.879999999999999</v>
      </c>
      <c r="Q97" s="157" t="s">
        <v>216</v>
      </c>
      <c r="R97" s="155" t="s">
        <v>44</v>
      </c>
      <c r="S97" s="158" t="s">
        <v>37</v>
      </c>
    </row>
    <row r="98" spans="2:19" ht="120" customHeight="1" x14ac:dyDescent="0.35">
      <c r="B98" s="152" t="s">
        <v>16</v>
      </c>
      <c r="C98" s="153" t="s">
        <v>16</v>
      </c>
      <c r="D98" s="154">
        <v>277391387317</v>
      </c>
      <c r="E98" s="157" t="s">
        <v>217</v>
      </c>
      <c r="F98" s="153" t="s">
        <v>218</v>
      </c>
      <c r="G98" s="153" t="s">
        <v>219</v>
      </c>
      <c r="H98" s="155" t="s">
        <v>220</v>
      </c>
      <c r="I98" s="156">
        <v>0</v>
      </c>
      <c r="J98" s="153" t="s">
        <v>221</v>
      </c>
      <c r="K98" s="153" t="s">
        <v>34</v>
      </c>
      <c r="L98" s="153" t="s">
        <v>23</v>
      </c>
      <c r="M98" s="153">
        <v>1</v>
      </c>
      <c r="N98" s="153" t="s">
        <v>34</v>
      </c>
      <c r="O98" s="153" t="s">
        <v>25</v>
      </c>
      <c r="P98" s="149">
        <f t="shared" si="1"/>
        <v>0</v>
      </c>
      <c r="Q98" s="157" t="s">
        <v>222</v>
      </c>
      <c r="R98" s="155" t="s">
        <v>223</v>
      </c>
      <c r="S98" s="158" t="s">
        <v>224</v>
      </c>
    </row>
    <row r="99" spans="2:19" ht="120" customHeight="1" x14ac:dyDescent="0.35">
      <c r="B99" s="152" t="s">
        <v>16</v>
      </c>
      <c r="C99" s="153" t="s">
        <v>16</v>
      </c>
      <c r="D99" s="154">
        <v>277391387317</v>
      </c>
      <c r="E99" s="157" t="s">
        <v>225</v>
      </c>
      <c r="F99" s="153" t="s">
        <v>218</v>
      </c>
      <c r="G99" s="153" t="s">
        <v>219</v>
      </c>
      <c r="H99" s="155" t="s">
        <v>220</v>
      </c>
      <c r="I99" s="156">
        <v>0</v>
      </c>
      <c r="J99" s="153" t="s">
        <v>221</v>
      </c>
      <c r="K99" s="153" t="s">
        <v>34</v>
      </c>
      <c r="L99" s="153" t="s">
        <v>23</v>
      </c>
      <c r="M99" s="153">
        <v>1</v>
      </c>
      <c r="N99" s="153" t="s">
        <v>34</v>
      </c>
      <c r="O99" s="153" t="s">
        <v>25</v>
      </c>
      <c r="P99" s="149">
        <f t="shared" si="1"/>
        <v>0</v>
      </c>
      <c r="Q99" s="157" t="s">
        <v>226</v>
      </c>
      <c r="R99" s="155" t="s">
        <v>223</v>
      </c>
      <c r="S99" s="158" t="s">
        <v>224</v>
      </c>
    </row>
    <row r="100" spans="2:19" ht="120" customHeight="1" x14ac:dyDescent="0.35">
      <c r="B100" s="152" t="s">
        <v>16</v>
      </c>
      <c r="C100" s="153" t="s">
        <v>16</v>
      </c>
      <c r="D100" s="154">
        <v>277391387317</v>
      </c>
      <c r="E100" s="157" t="s">
        <v>227</v>
      </c>
      <c r="F100" s="153" t="s">
        <v>218</v>
      </c>
      <c r="G100" s="153" t="s">
        <v>219</v>
      </c>
      <c r="H100" s="155" t="s">
        <v>220</v>
      </c>
      <c r="I100" s="156">
        <v>0</v>
      </c>
      <c r="J100" s="153" t="s">
        <v>221</v>
      </c>
      <c r="K100" s="153" t="s">
        <v>34</v>
      </c>
      <c r="L100" s="153" t="s">
        <v>23</v>
      </c>
      <c r="M100" s="153">
        <v>1</v>
      </c>
      <c r="N100" s="153" t="s">
        <v>34</v>
      </c>
      <c r="O100" s="153" t="s">
        <v>25</v>
      </c>
      <c r="P100" s="149">
        <f t="shared" si="1"/>
        <v>0</v>
      </c>
      <c r="Q100" s="157" t="s">
        <v>228</v>
      </c>
      <c r="R100" s="155" t="s">
        <v>223</v>
      </c>
      <c r="S100" s="158" t="s">
        <v>224</v>
      </c>
    </row>
    <row r="101" spans="2:19" ht="120" customHeight="1" x14ac:dyDescent="0.35">
      <c r="B101" s="152" t="s">
        <v>16</v>
      </c>
      <c r="C101" s="153" t="s">
        <v>16</v>
      </c>
      <c r="D101" s="154">
        <v>277391387317</v>
      </c>
      <c r="E101" s="157" t="s">
        <v>229</v>
      </c>
      <c r="F101" s="153" t="s">
        <v>218</v>
      </c>
      <c r="G101" s="153" t="s">
        <v>219</v>
      </c>
      <c r="H101" s="155" t="s">
        <v>220</v>
      </c>
      <c r="I101" s="156">
        <v>0</v>
      </c>
      <c r="J101" s="153" t="s">
        <v>221</v>
      </c>
      <c r="K101" s="153" t="s">
        <v>34</v>
      </c>
      <c r="L101" s="153" t="s">
        <v>23</v>
      </c>
      <c r="M101" s="153">
        <v>1</v>
      </c>
      <c r="N101" s="153" t="s">
        <v>34</v>
      </c>
      <c r="O101" s="153" t="s">
        <v>25</v>
      </c>
      <c r="P101" s="149">
        <f t="shared" si="1"/>
        <v>0</v>
      </c>
      <c r="Q101" s="157" t="s">
        <v>230</v>
      </c>
      <c r="R101" s="155" t="s">
        <v>223</v>
      </c>
      <c r="S101" s="158" t="s">
        <v>224</v>
      </c>
    </row>
    <row r="102" spans="2:19" ht="120" customHeight="1" x14ac:dyDescent="0.35">
      <c r="B102" s="152" t="s">
        <v>16</v>
      </c>
      <c r="C102" s="153" t="s">
        <v>16</v>
      </c>
      <c r="D102" s="154">
        <v>295451572584</v>
      </c>
      <c r="E102" s="157" t="s">
        <v>231</v>
      </c>
      <c r="F102" s="153" t="s">
        <v>218</v>
      </c>
      <c r="G102" s="153" t="s">
        <v>219</v>
      </c>
      <c r="H102" s="155" t="s">
        <v>220</v>
      </c>
      <c r="I102" s="156">
        <v>0</v>
      </c>
      <c r="J102" s="153" t="s">
        <v>221</v>
      </c>
      <c r="K102" s="153" t="s">
        <v>34</v>
      </c>
      <c r="L102" s="153" t="s">
        <v>23</v>
      </c>
      <c r="M102" s="153">
        <v>1</v>
      </c>
      <c r="N102" s="153" t="s">
        <v>34</v>
      </c>
      <c r="O102" s="153" t="s">
        <v>25</v>
      </c>
      <c r="P102" s="149">
        <f t="shared" si="1"/>
        <v>0</v>
      </c>
      <c r="Q102" s="157" t="s">
        <v>232</v>
      </c>
      <c r="R102" s="155" t="s">
        <v>223</v>
      </c>
      <c r="S102" s="158" t="s">
        <v>224</v>
      </c>
    </row>
    <row r="103" spans="2:19" ht="120" customHeight="1" x14ac:dyDescent="0.35">
      <c r="B103" s="152" t="s">
        <v>16</v>
      </c>
      <c r="C103" s="153" t="s">
        <v>16</v>
      </c>
      <c r="D103" s="154">
        <v>338938071146</v>
      </c>
      <c r="E103" s="157" t="s">
        <v>233</v>
      </c>
      <c r="F103" s="153" t="s">
        <v>18</v>
      </c>
      <c r="G103" s="153" t="s">
        <v>234</v>
      </c>
      <c r="H103" s="155" t="s">
        <v>235</v>
      </c>
      <c r="I103" s="156">
        <v>0</v>
      </c>
      <c r="J103" s="153" t="s">
        <v>236</v>
      </c>
      <c r="K103" s="153" t="s">
        <v>34</v>
      </c>
      <c r="L103" s="153" t="s">
        <v>237</v>
      </c>
      <c r="M103" s="153">
        <v>4</v>
      </c>
      <c r="N103" s="153" t="s">
        <v>24</v>
      </c>
      <c r="O103" s="153" t="s">
        <v>238</v>
      </c>
      <c r="P103" s="149">
        <f t="shared" si="1"/>
        <v>0</v>
      </c>
      <c r="Q103" s="157" t="s">
        <v>239</v>
      </c>
      <c r="R103" s="155" t="s">
        <v>240</v>
      </c>
      <c r="S103" s="158" t="s">
        <v>28</v>
      </c>
    </row>
    <row r="104" spans="2:19" ht="120" customHeight="1" x14ac:dyDescent="0.35">
      <c r="B104" s="152" t="s">
        <v>16</v>
      </c>
      <c r="C104" s="153" t="s">
        <v>16</v>
      </c>
      <c r="D104" s="154">
        <v>419135461434</v>
      </c>
      <c r="E104" s="157" t="s">
        <v>241</v>
      </c>
      <c r="F104" s="153" t="s">
        <v>218</v>
      </c>
      <c r="G104" s="153" t="s">
        <v>219</v>
      </c>
      <c r="H104" s="155" t="s">
        <v>220</v>
      </c>
      <c r="I104" s="156">
        <v>0</v>
      </c>
      <c r="J104" s="153" t="s">
        <v>221</v>
      </c>
      <c r="K104" s="153" t="s">
        <v>34</v>
      </c>
      <c r="L104" s="153" t="s">
        <v>23</v>
      </c>
      <c r="M104" s="153">
        <v>1</v>
      </c>
      <c r="N104" s="153" t="s">
        <v>34</v>
      </c>
      <c r="O104" s="153" t="s">
        <v>25</v>
      </c>
      <c r="P104" s="149">
        <f t="shared" si="1"/>
        <v>0</v>
      </c>
      <c r="Q104" s="157" t="s">
        <v>242</v>
      </c>
      <c r="R104" s="155" t="s">
        <v>223</v>
      </c>
      <c r="S104" s="158" t="s">
        <v>224</v>
      </c>
    </row>
    <row r="105" spans="2:19" ht="120" customHeight="1" x14ac:dyDescent="0.35">
      <c r="B105" s="152" t="s">
        <v>16</v>
      </c>
      <c r="C105" s="153" t="s">
        <v>16</v>
      </c>
      <c r="D105" s="154">
        <v>419135461434</v>
      </c>
      <c r="E105" s="157" t="s">
        <v>243</v>
      </c>
      <c r="F105" s="153" t="s">
        <v>218</v>
      </c>
      <c r="G105" s="153" t="s">
        <v>219</v>
      </c>
      <c r="H105" s="155" t="s">
        <v>220</v>
      </c>
      <c r="I105" s="156">
        <v>0</v>
      </c>
      <c r="J105" s="153" t="s">
        <v>221</v>
      </c>
      <c r="K105" s="153" t="s">
        <v>34</v>
      </c>
      <c r="L105" s="153" t="s">
        <v>23</v>
      </c>
      <c r="M105" s="153">
        <v>1</v>
      </c>
      <c r="N105" s="153" t="s">
        <v>34</v>
      </c>
      <c r="O105" s="153" t="s">
        <v>25</v>
      </c>
      <c r="P105" s="149">
        <f t="shared" si="1"/>
        <v>0</v>
      </c>
      <c r="Q105" s="157" t="s">
        <v>244</v>
      </c>
      <c r="R105" s="155" t="s">
        <v>223</v>
      </c>
      <c r="S105" s="158" t="s">
        <v>224</v>
      </c>
    </row>
    <row r="106" spans="2:19" ht="120" customHeight="1" x14ac:dyDescent="0.35">
      <c r="B106" s="152" t="s">
        <v>16</v>
      </c>
      <c r="C106" s="153" t="s">
        <v>16</v>
      </c>
      <c r="D106" s="154">
        <v>512542238830</v>
      </c>
      <c r="E106" s="157" t="s">
        <v>245</v>
      </c>
      <c r="F106" s="153" t="s">
        <v>18</v>
      </c>
      <c r="G106" s="153" t="s">
        <v>246</v>
      </c>
      <c r="H106" s="155" t="s">
        <v>247</v>
      </c>
      <c r="I106" s="156">
        <v>0</v>
      </c>
      <c r="J106" s="153" t="s">
        <v>248</v>
      </c>
      <c r="K106" s="153" t="s">
        <v>34</v>
      </c>
      <c r="L106" s="153" t="s">
        <v>237</v>
      </c>
      <c r="M106" s="153">
        <v>6</v>
      </c>
      <c r="N106" s="153" t="s">
        <v>39</v>
      </c>
      <c r="O106" s="153" t="s">
        <v>238</v>
      </c>
      <c r="P106" s="149">
        <f t="shared" si="1"/>
        <v>0</v>
      </c>
      <c r="Q106" s="157" t="s">
        <v>249</v>
      </c>
      <c r="R106" s="155" t="s">
        <v>240</v>
      </c>
      <c r="S106" s="158" t="s">
        <v>28</v>
      </c>
    </row>
    <row r="107" spans="2:19" ht="120" customHeight="1" x14ac:dyDescent="0.35">
      <c r="B107" s="152" t="s">
        <v>16</v>
      </c>
      <c r="C107" s="153" t="s">
        <v>16</v>
      </c>
      <c r="D107" s="154">
        <v>512542238830</v>
      </c>
      <c r="E107" s="157" t="s">
        <v>250</v>
      </c>
      <c r="F107" s="153" t="s">
        <v>18</v>
      </c>
      <c r="G107" s="153" t="s">
        <v>246</v>
      </c>
      <c r="H107" s="155" t="s">
        <v>247</v>
      </c>
      <c r="I107" s="156">
        <v>0</v>
      </c>
      <c r="J107" s="153" t="s">
        <v>248</v>
      </c>
      <c r="K107" s="153" t="s">
        <v>34</v>
      </c>
      <c r="L107" s="153" t="s">
        <v>237</v>
      </c>
      <c r="M107" s="153">
        <v>6</v>
      </c>
      <c r="N107" s="153" t="s">
        <v>39</v>
      </c>
      <c r="O107" s="153" t="s">
        <v>238</v>
      </c>
      <c r="P107" s="149">
        <f t="shared" si="1"/>
        <v>0</v>
      </c>
      <c r="Q107" s="157" t="s">
        <v>251</v>
      </c>
      <c r="R107" s="155" t="s">
        <v>240</v>
      </c>
      <c r="S107" s="158" t="s">
        <v>28</v>
      </c>
    </row>
    <row r="108" spans="2:19" ht="120" customHeight="1" x14ac:dyDescent="0.35">
      <c r="B108" s="152" t="s">
        <v>16</v>
      </c>
      <c r="C108" s="153" t="s">
        <v>16</v>
      </c>
      <c r="D108" s="154">
        <v>608649261817</v>
      </c>
      <c r="E108" s="157" t="s">
        <v>252</v>
      </c>
      <c r="F108" s="153" t="s">
        <v>218</v>
      </c>
      <c r="G108" s="153" t="s">
        <v>219</v>
      </c>
      <c r="H108" s="155" t="s">
        <v>220</v>
      </c>
      <c r="I108" s="156">
        <v>0</v>
      </c>
      <c r="J108" s="153" t="s">
        <v>221</v>
      </c>
      <c r="K108" s="153" t="s">
        <v>34</v>
      </c>
      <c r="L108" s="153" t="s">
        <v>23</v>
      </c>
      <c r="M108" s="153">
        <v>1</v>
      </c>
      <c r="N108" s="153" t="s">
        <v>34</v>
      </c>
      <c r="O108" s="153" t="s">
        <v>25</v>
      </c>
      <c r="P108" s="149">
        <f t="shared" si="1"/>
        <v>0</v>
      </c>
      <c r="Q108" s="157" t="s">
        <v>253</v>
      </c>
      <c r="R108" s="155" t="s">
        <v>223</v>
      </c>
      <c r="S108" s="158" t="s">
        <v>224</v>
      </c>
    </row>
    <row r="109" spans="2:19" ht="120" customHeight="1" x14ac:dyDescent="0.35">
      <c r="B109" s="152" t="s">
        <v>16</v>
      </c>
      <c r="C109" s="153" t="s">
        <v>16</v>
      </c>
      <c r="D109" s="154">
        <v>608649261817</v>
      </c>
      <c r="E109" s="157" t="s">
        <v>254</v>
      </c>
      <c r="F109" s="153" t="s">
        <v>218</v>
      </c>
      <c r="G109" s="153" t="s">
        <v>219</v>
      </c>
      <c r="H109" s="155" t="s">
        <v>220</v>
      </c>
      <c r="I109" s="156">
        <v>0</v>
      </c>
      <c r="J109" s="153" t="s">
        <v>221</v>
      </c>
      <c r="K109" s="153" t="s">
        <v>34</v>
      </c>
      <c r="L109" s="153" t="s">
        <v>23</v>
      </c>
      <c r="M109" s="153">
        <v>1</v>
      </c>
      <c r="N109" s="153" t="s">
        <v>34</v>
      </c>
      <c r="O109" s="153" t="s">
        <v>25</v>
      </c>
      <c r="P109" s="149">
        <f t="shared" si="1"/>
        <v>0</v>
      </c>
      <c r="Q109" s="157" t="s">
        <v>255</v>
      </c>
      <c r="R109" s="155" t="s">
        <v>223</v>
      </c>
      <c r="S109" s="158" t="s">
        <v>224</v>
      </c>
    </row>
    <row r="110" spans="2:19" ht="120" customHeight="1" x14ac:dyDescent="0.35">
      <c r="B110" s="152" t="s">
        <v>16</v>
      </c>
      <c r="C110" s="153" t="s">
        <v>16</v>
      </c>
      <c r="D110" s="154">
        <v>608649261817</v>
      </c>
      <c r="E110" s="157" t="s">
        <v>256</v>
      </c>
      <c r="F110" s="153" t="s">
        <v>218</v>
      </c>
      <c r="G110" s="153" t="s">
        <v>219</v>
      </c>
      <c r="H110" s="155" t="s">
        <v>220</v>
      </c>
      <c r="I110" s="156">
        <v>0</v>
      </c>
      <c r="J110" s="153" t="s">
        <v>221</v>
      </c>
      <c r="K110" s="153" t="s">
        <v>34</v>
      </c>
      <c r="L110" s="153" t="s">
        <v>23</v>
      </c>
      <c r="M110" s="153">
        <v>1</v>
      </c>
      <c r="N110" s="153" t="s">
        <v>34</v>
      </c>
      <c r="O110" s="153" t="s">
        <v>25</v>
      </c>
      <c r="P110" s="149">
        <f t="shared" si="1"/>
        <v>0</v>
      </c>
      <c r="Q110" s="157" t="s">
        <v>257</v>
      </c>
      <c r="R110" s="155" t="s">
        <v>223</v>
      </c>
      <c r="S110" s="158" t="s">
        <v>224</v>
      </c>
    </row>
    <row r="111" spans="2:19" ht="120" customHeight="1" x14ac:dyDescent="0.35">
      <c r="B111" s="152" t="s">
        <v>16</v>
      </c>
      <c r="C111" s="153" t="s">
        <v>16</v>
      </c>
      <c r="D111" s="154">
        <v>608649261817</v>
      </c>
      <c r="E111" s="157" t="s">
        <v>258</v>
      </c>
      <c r="F111" s="153" t="s">
        <v>218</v>
      </c>
      <c r="G111" s="153" t="s">
        <v>219</v>
      </c>
      <c r="H111" s="155" t="s">
        <v>220</v>
      </c>
      <c r="I111" s="156">
        <v>0</v>
      </c>
      <c r="J111" s="153" t="s">
        <v>221</v>
      </c>
      <c r="K111" s="153" t="s">
        <v>34</v>
      </c>
      <c r="L111" s="153" t="s">
        <v>23</v>
      </c>
      <c r="M111" s="153">
        <v>1</v>
      </c>
      <c r="N111" s="153" t="s">
        <v>34</v>
      </c>
      <c r="O111" s="153" t="s">
        <v>25</v>
      </c>
      <c r="P111" s="149">
        <f t="shared" si="1"/>
        <v>0</v>
      </c>
      <c r="Q111" s="157" t="s">
        <v>259</v>
      </c>
      <c r="R111" s="155" t="s">
        <v>223</v>
      </c>
      <c r="S111" s="158" t="s">
        <v>224</v>
      </c>
    </row>
    <row r="112" spans="2:19" ht="120" customHeight="1" x14ac:dyDescent="0.35">
      <c r="B112" s="152" t="s">
        <v>16</v>
      </c>
      <c r="C112" s="153" t="s">
        <v>16</v>
      </c>
      <c r="D112" s="154">
        <v>608649261817</v>
      </c>
      <c r="E112" s="157" t="s">
        <v>260</v>
      </c>
      <c r="F112" s="153" t="s">
        <v>218</v>
      </c>
      <c r="G112" s="153" t="s">
        <v>219</v>
      </c>
      <c r="H112" s="155" t="s">
        <v>220</v>
      </c>
      <c r="I112" s="156">
        <v>0</v>
      </c>
      <c r="J112" s="153" t="s">
        <v>221</v>
      </c>
      <c r="K112" s="153" t="s">
        <v>34</v>
      </c>
      <c r="L112" s="153" t="s">
        <v>23</v>
      </c>
      <c r="M112" s="153">
        <v>1</v>
      </c>
      <c r="N112" s="153" t="s">
        <v>34</v>
      </c>
      <c r="O112" s="153" t="s">
        <v>25</v>
      </c>
      <c r="P112" s="149">
        <f t="shared" si="1"/>
        <v>0</v>
      </c>
      <c r="Q112" s="157" t="s">
        <v>261</v>
      </c>
      <c r="R112" s="155" t="s">
        <v>223</v>
      </c>
      <c r="S112" s="158" t="s">
        <v>224</v>
      </c>
    </row>
    <row r="113" spans="2:19" ht="120" customHeight="1" x14ac:dyDescent="0.35">
      <c r="B113" s="152" t="s">
        <v>16</v>
      </c>
      <c r="C113" s="153" t="s">
        <v>16</v>
      </c>
      <c r="D113" s="154">
        <v>608649261817</v>
      </c>
      <c r="E113" s="157" t="s">
        <v>262</v>
      </c>
      <c r="F113" s="153" t="s">
        <v>218</v>
      </c>
      <c r="G113" s="153" t="s">
        <v>219</v>
      </c>
      <c r="H113" s="155" t="s">
        <v>220</v>
      </c>
      <c r="I113" s="156">
        <v>0</v>
      </c>
      <c r="J113" s="153" t="s">
        <v>221</v>
      </c>
      <c r="K113" s="153" t="s">
        <v>34</v>
      </c>
      <c r="L113" s="153" t="s">
        <v>23</v>
      </c>
      <c r="M113" s="153">
        <v>1</v>
      </c>
      <c r="N113" s="153" t="s">
        <v>34</v>
      </c>
      <c r="O113" s="153" t="s">
        <v>25</v>
      </c>
      <c r="P113" s="149">
        <f t="shared" si="1"/>
        <v>0</v>
      </c>
      <c r="Q113" s="157" t="s">
        <v>263</v>
      </c>
      <c r="R113" s="155" t="s">
        <v>223</v>
      </c>
      <c r="S113" s="158" t="s">
        <v>224</v>
      </c>
    </row>
    <row r="114" spans="2:19" ht="120" customHeight="1" x14ac:dyDescent="0.35">
      <c r="B114" s="152" t="s">
        <v>16</v>
      </c>
      <c r="C114" s="153" t="s">
        <v>16</v>
      </c>
      <c r="D114" s="154">
        <v>608649261817</v>
      </c>
      <c r="E114" s="157" t="s">
        <v>264</v>
      </c>
      <c r="F114" s="153" t="s">
        <v>218</v>
      </c>
      <c r="G114" s="153" t="s">
        <v>219</v>
      </c>
      <c r="H114" s="155" t="s">
        <v>220</v>
      </c>
      <c r="I114" s="156">
        <v>0</v>
      </c>
      <c r="J114" s="153" t="s">
        <v>221</v>
      </c>
      <c r="K114" s="153" t="s">
        <v>34</v>
      </c>
      <c r="L114" s="153" t="s">
        <v>23</v>
      </c>
      <c r="M114" s="153">
        <v>1</v>
      </c>
      <c r="N114" s="153" t="s">
        <v>34</v>
      </c>
      <c r="O114" s="153" t="s">
        <v>25</v>
      </c>
      <c r="P114" s="149">
        <f t="shared" si="1"/>
        <v>0</v>
      </c>
      <c r="Q114" s="157" t="s">
        <v>265</v>
      </c>
      <c r="R114" s="155" t="s">
        <v>223</v>
      </c>
      <c r="S114" s="158" t="s">
        <v>224</v>
      </c>
    </row>
    <row r="115" spans="2:19" ht="120" customHeight="1" x14ac:dyDescent="0.35">
      <c r="B115" s="152" t="s">
        <v>16</v>
      </c>
      <c r="C115" s="153" t="s">
        <v>16</v>
      </c>
      <c r="D115" s="154">
        <v>608649261817</v>
      </c>
      <c r="E115" s="157" t="s">
        <v>266</v>
      </c>
      <c r="F115" s="153" t="s">
        <v>218</v>
      </c>
      <c r="G115" s="153" t="s">
        <v>219</v>
      </c>
      <c r="H115" s="155" t="s">
        <v>267</v>
      </c>
      <c r="I115" s="156">
        <v>0</v>
      </c>
      <c r="J115" s="153" t="s">
        <v>221</v>
      </c>
      <c r="K115" s="153" t="s">
        <v>34</v>
      </c>
      <c r="L115" s="153" t="s">
        <v>23</v>
      </c>
      <c r="M115" s="153">
        <v>1</v>
      </c>
      <c r="N115" s="153" t="s">
        <v>34</v>
      </c>
      <c r="O115" s="153" t="s">
        <v>25</v>
      </c>
      <c r="P115" s="149">
        <f t="shared" si="1"/>
        <v>0</v>
      </c>
      <c r="Q115" s="157" t="s">
        <v>268</v>
      </c>
      <c r="R115" s="155" t="s">
        <v>223</v>
      </c>
      <c r="S115" s="158" t="s">
        <v>224</v>
      </c>
    </row>
    <row r="116" spans="2:19" ht="120" customHeight="1" x14ac:dyDescent="0.35">
      <c r="B116" s="152" t="s">
        <v>16</v>
      </c>
      <c r="C116" s="153" t="s">
        <v>16</v>
      </c>
      <c r="D116" s="154">
        <v>608649261817</v>
      </c>
      <c r="E116" s="157" t="s">
        <v>269</v>
      </c>
      <c r="F116" s="153" t="s">
        <v>218</v>
      </c>
      <c r="G116" s="153" t="s">
        <v>219</v>
      </c>
      <c r="H116" s="155" t="s">
        <v>220</v>
      </c>
      <c r="I116" s="156">
        <v>0</v>
      </c>
      <c r="J116" s="153" t="s">
        <v>221</v>
      </c>
      <c r="K116" s="153" t="s">
        <v>34</v>
      </c>
      <c r="L116" s="153" t="s">
        <v>23</v>
      </c>
      <c r="M116" s="153">
        <v>1</v>
      </c>
      <c r="N116" s="153" t="s">
        <v>34</v>
      </c>
      <c r="O116" s="153" t="s">
        <v>25</v>
      </c>
      <c r="P116" s="149">
        <f t="shared" si="1"/>
        <v>0</v>
      </c>
      <c r="Q116" s="157" t="s">
        <v>270</v>
      </c>
      <c r="R116" s="155" t="s">
        <v>223</v>
      </c>
      <c r="S116" s="158" t="s">
        <v>224</v>
      </c>
    </row>
    <row r="117" spans="2:19" ht="120" customHeight="1" x14ac:dyDescent="0.35">
      <c r="B117" s="152" t="s">
        <v>16</v>
      </c>
      <c r="C117" s="153" t="s">
        <v>16</v>
      </c>
      <c r="D117" s="154">
        <v>608649261817</v>
      </c>
      <c r="E117" s="157" t="s">
        <v>271</v>
      </c>
      <c r="F117" s="153" t="s">
        <v>218</v>
      </c>
      <c r="G117" s="153" t="s">
        <v>219</v>
      </c>
      <c r="H117" s="155" t="s">
        <v>220</v>
      </c>
      <c r="I117" s="156">
        <v>0</v>
      </c>
      <c r="J117" s="153" t="s">
        <v>221</v>
      </c>
      <c r="K117" s="153" t="s">
        <v>34</v>
      </c>
      <c r="L117" s="153" t="s">
        <v>23</v>
      </c>
      <c r="M117" s="153">
        <v>1</v>
      </c>
      <c r="N117" s="153" t="s">
        <v>34</v>
      </c>
      <c r="O117" s="153" t="s">
        <v>25</v>
      </c>
      <c r="P117" s="149">
        <f t="shared" si="1"/>
        <v>0</v>
      </c>
      <c r="Q117" s="157" t="s">
        <v>272</v>
      </c>
      <c r="R117" s="155" t="s">
        <v>223</v>
      </c>
      <c r="S117" s="158" t="s">
        <v>224</v>
      </c>
    </row>
    <row r="118" spans="2:19" ht="120" customHeight="1" x14ac:dyDescent="0.35">
      <c r="B118" s="152" t="s">
        <v>16</v>
      </c>
      <c r="C118" s="153" t="s">
        <v>16</v>
      </c>
      <c r="D118" s="154">
        <v>608649261817</v>
      </c>
      <c r="E118" s="157" t="s">
        <v>273</v>
      </c>
      <c r="F118" s="153" t="s">
        <v>218</v>
      </c>
      <c r="G118" s="153" t="s">
        <v>219</v>
      </c>
      <c r="H118" s="155" t="s">
        <v>267</v>
      </c>
      <c r="I118" s="156">
        <v>0</v>
      </c>
      <c r="J118" s="153" t="s">
        <v>221</v>
      </c>
      <c r="K118" s="153" t="s">
        <v>34</v>
      </c>
      <c r="L118" s="153" t="s">
        <v>23</v>
      </c>
      <c r="M118" s="153">
        <v>1</v>
      </c>
      <c r="N118" s="153" t="s">
        <v>34</v>
      </c>
      <c r="O118" s="153" t="s">
        <v>25</v>
      </c>
      <c r="P118" s="149">
        <f t="shared" si="1"/>
        <v>0</v>
      </c>
      <c r="Q118" s="157" t="s">
        <v>274</v>
      </c>
      <c r="R118" s="155" t="s">
        <v>223</v>
      </c>
      <c r="S118" s="158" t="s">
        <v>224</v>
      </c>
    </row>
    <row r="119" spans="2:19" ht="120" customHeight="1" x14ac:dyDescent="0.35">
      <c r="B119" s="152" t="s">
        <v>16</v>
      </c>
      <c r="C119" s="153" t="s">
        <v>16</v>
      </c>
      <c r="D119" s="154">
        <v>608649261817</v>
      </c>
      <c r="E119" s="157" t="s">
        <v>275</v>
      </c>
      <c r="F119" s="153" t="s">
        <v>218</v>
      </c>
      <c r="G119" s="153" t="s">
        <v>219</v>
      </c>
      <c r="H119" s="155" t="s">
        <v>267</v>
      </c>
      <c r="I119" s="156">
        <v>0</v>
      </c>
      <c r="J119" s="153" t="s">
        <v>221</v>
      </c>
      <c r="K119" s="153" t="s">
        <v>34</v>
      </c>
      <c r="L119" s="153" t="s">
        <v>23</v>
      </c>
      <c r="M119" s="153">
        <v>1</v>
      </c>
      <c r="N119" s="153" t="s">
        <v>34</v>
      </c>
      <c r="O119" s="153" t="s">
        <v>25</v>
      </c>
      <c r="P119" s="149">
        <f t="shared" si="1"/>
        <v>0</v>
      </c>
      <c r="Q119" s="157" t="s">
        <v>276</v>
      </c>
      <c r="R119" s="155" t="s">
        <v>223</v>
      </c>
      <c r="S119" s="158" t="s">
        <v>224</v>
      </c>
    </row>
    <row r="120" spans="2:19" ht="120" customHeight="1" x14ac:dyDescent="0.35">
      <c r="B120" s="152" t="s">
        <v>16</v>
      </c>
      <c r="C120" s="153" t="s">
        <v>16</v>
      </c>
      <c r="D120" s="154">
        <v>608649261817</v>
      </c>
      <c r="E120" s="157" t="s">
        <v>277</v>
      </c>
      <c r="F120" s="153" t="s">
        <v>218</v>
      </c>
      <c r="G120" s="153" t="s">
        <v>219</v>
      </c>
      <c r="H120" s="155" t="s">
        <v>220</v>
      </c>
      <c r="I120" s="156">
        <v>0</v>
      </c>
      <c r="J120" s="153" t="s">
        <v>221</v>
      </c>
      <c r="K120" s="153" t="s">
        <v>34</v>
      </c>
      <c r="L120" s="153" t="s">
        <v>23</v>
      </c>
      <c r="M120" s="153">
        <v>1</v>
      </c>
      <c r="N120" s="153" t="s">
        <v>34</v>
      </c>
      <c r="O120" s="153" t="s">
        <v>25</v>
      </c>
      <c r="P120" s="149">
        <f t="shared" si="1"/>
        <v>0</v>
      </c>
      <c r="Q120" s="157" t="s">
        <v>278</v>
      </c>
      <c r="R120" s="155" t="s">
        <v>223</v>
      </c>
      <c r="S120" s="158" t="s">
        <v>224</v>
      </c>
    </row>
    <row r="121" spans="2:19" ht="120" customHeight="1" x14ac:dyDescent="0.35">
      <c r="B121" s="152" t="s">
        <v>16</v>
      </c>
      <c r="C121" s="153" t="s">
        <v>16</v>
      </c>
      <c r="D121" s="154">
        <v>608649261817</v>
      </c>
      <c r="E121" s="157" t="s">
        <v>279</v>
      </c>
      <c r="F121" s="153" t="s">
        <v>218</v>
      </c>
      <c r="G121" s="153" t="s">
        <v>219</v>
      </c>
      <c r="H121" s="155" t="s">
        <v>220</v>
      </c>
      <c r="I121" s="156">
        <v>0</v>
      </c>
      <c r="J121" s="153" t="s">
        <v>221</v>
      </c>
      <c r="K121" s="153" t="s">
        <v>34</v>
      </c>
      <c r="L121" s="153" t="s">
        <v>23</v>
      </c>
      <c r="M121" s="153">
        <v>1</v>
      </c>
      <c r="N121" s="153" t="s">
        <v>34</v>
      </c>
      <c r="O121" s="153" t="s">
        <v>25</v>
      </c>
      <c r="P121" s="149">
        <f t="shared" si="1"/>
        <v>0</v>
      </c>
      <c r="Q121" s="157" t="s">
        <v>280</v>
      </c>
      <c r="R121" s="155" t="s">
        <v>223</v>
      </c>
      <c r="S121" s="158" t="s">
        <v>224</v>
      </c>
    </row>
    <row r="122" spans="2:19" ht="120" customHeight="1" x14ac:dyDescent="0.35">
      <c r="B122" s="152" t="s">
        <v>16</v>
      </c>
      <c r="C122" s="153" t="s">
        <v>16</v>
      </c>
      <c r="D122" s="154">
        <v>608649261817</v>
      </c>
      <c r="E122" s="157" t="s">
        <v>281</v>
      </c>
      <c r="F122" s="153" t="s">
        <v>218</v>
      </c>
      <c r="G122" s="153" t="s">
        <v>219</v>
      </c>
      <c r="H122" s="155" t="s">
        <v>220</v>
      </c>
      <c r="I122" s="156">
        <v>0</v>
      </c>
      <c r="J122" s="153" t="s">
        <v>221</v>
      </c>
      <c r="K122" s="153" t="s">
        <v>34</v>
      </c>
      <c r="L122" s="153" t="s">
        <v>23</v>
      </c>
      <c r="M122" s="153">
        <v>1</v>
      </c>
      <c r="N122" s="153" t="s">
        <v>34</v>
      </c>
      <c r="O122" s="153" t="s">
        <v>25</v>
      </c>
      <c r="P122" s="149">
        <f t="shared" si="1"/>
        <v>0</v>
      </c>
      <c r="Q122" s="157" t="s">
        <v>282</v>
      </c>
      <c r="R122" s="155" t="s">
        <v>223</v>
      </c>
      <c r="S122" s="158" t="s">
        <v>224</v>
      </c>
    </row>
    <row r="123" spans="2:19" ht="120" customHeight="1" x14ac:dyDescent="0.35">
      <c r="B123" s="152" t="s">
        <v>16</v>
      </c>
      <c r="C123" s="153" t="s">
        <v>16</v>
      </c>
      <c r="D123" s="154">
        <v>608649261817</v>
      </c>
      <c r="E123" s="157" t="s">
        <v>283</v>
      </c>
      <c r="F123" s="153" t="s">
        <v>218</v>
      </c>
      <c r="G123" s="153" t="s">
        <v>219</v>
      </c>
      <c r="H123" s="155" t="s">
        <v>220</v>
      </c>
      <c r="I123" s="156">
        <v>0</v>
      </c>
      <c r="J123" s="153" t="s">
        <v>221</v>
      </c>
      <c r="K123" s="153" t="s">
        <v>34</v>
      </c>
      <c r="L123" s="153" t="s">
        <v>23</v>
      </c>
      <c r="M123" s="153">
        <v>1</v>
      </c>
      <c r="N123" s="153" t="s">
        <v>34</v>
      </c>
      <c r="O123" s="153" t="s">
        <v>25</v>
      </c>
      <c r="P123" s="149">
        <f t="shared" si="1"/>
        <v>0</v>
      </c>
      <c r="Q123" s="157" t="s">
        <v>284</v>
      </c>
      <c r="R123" s="155" t="s">
        <v>223</v>
      </c>
      <c r="S123" s="158" t="s">
        <v>224</v>
      </c>
    </row>
    <row r="124" spans="2:19" ht="120" customHeight="1" x14ac:dyDescent="0.35">
      <c r="B124" s="152" t="s">
        <v>16</v>
      </c>
      <c r="C124" s="153" t="s">
        <v>16</v>
      </c>
      <c r="D124" s="154">
        <v>608649261817</v>
      </c>
      <c r="E124" s="157" t="s">
        <v>285</v>
      </c>
      <c r="F124" s="153" t="s">
        <v>218</v>
      </c>
      <c r="G124" s="153" t="s">
        <v>219</v>
      </c>
      <c r="H124" s="155" t="s">
        <v>220</v>
      </c>
      <c r="I124" s="156">
        <v>0</v>
      </c>
      <c r="J124" s="153" t="s">
        <v>221</v>
      </c>
      <c r="K124" s="153" t="s">
        <v>34</v>
      </c>
      <c r="L124" s="153" t="s">
        <v>23</v>
      </c>
      <c r="M124" s="153">
        <v>1</v>
      </c>
      <c r="N124" s="153" t="s">
        <v>34</v>
      </c>
      <c r="O124" s="153" t="s">
        <v>25</v>
      </c>
      <c r="P124" s="149">
        <f t="shared" si="1"/>
        <v>0</v>
      </c>
      <c r="Q124" s="157" t="s">
        <v>286</v>
      </c>
      <c r="R124" s="155" t="s">
        <v>223</v>
      </c>
      <c r="S124" s="158" t="s">
        <v>224</v>
      </c>
    </row>
    <row r="125" spans="2:19" ht="120" customHeight="1" x14ac:dyDescent="0.35">
      <c r="B125" s="152" t="s">
        <v>16</v>
      </c>
      <c r="C125" s="153" t="s">
        <v>16</v>
      </c>
      <c r="D125" s="154">
        <v>608649261817</v>
      </c>
      <c r="E125" s="157" t="s">
        <v>287</v>
      </c>
      <c r="F125" s="153" t="s">
        <v>218</v>
      </c>
      <c r="G125" s="153" t="s">
        <v>219</v>
      </c>
      <c r="H125" s="155" t="s">
        <v>220</v>
      </c>
      <c r="I125" s="156">
        <v>0</v>
      </c>
      <c r="J125" s="153" t="s">
        <v>221</v>
      </c>
      <c r="K125" s="153" t="s">
        <v>34</v>
      </c>
      <c r="L125" s="153" t="s">
        <v>23</v>
      </c>
      <c r="M125" s="153">
        <v>1</v>
      </c>
      <c r="N125" s="153" t="s">
        <v>34</v>
      </c>
      <c r="O125" s="153" t="s">
        <v>25</v>
      </c>
      <c r="P125" s="149">
        <f t="shared" si="1"/>
        <v>0</v>
      </c>
      <c r="Q125" s="157" t="s">
        <v>288</v>
      </c>
      <c r="R125" s="155" t="s">
        <v>223</v>
      </c>
      <c r="S125" s="158" t="s">
        <v>224</v>
      </c>
    </row>
    <row r="126" spans="2:19" ht="120" customHeight="1" x14ac:dyDescent="0.35">
      <c r="B126" s="152" t="s">
        <v>16</v>
      </c>
      <c r="C126" s="153" t="s">
        <v>16</v>
      </c>
      <c r="D126" s="154">
        <v>608649261817</v>
      </c>
      <c r="E126" s="157" t="s">
        <v>289</v>
      </c>
      <c r="F126" s="153" t="s">
        <v>218</v>
      </c>
      <c r="G126" s="153" t="s">
        <v>219</v>
      </c>
      <c r="H126" s="155" t="s">
        <v>267</v>
      </c>
      <c r="I126" s="156">
        <v>0</v>
      </c>
      <c r="J126" s="153" t="s">
        <v>221</v>
      </c>
      <c r="K126" s="153" t="s">
        <v>34</v>
      </c>
      <c r="L126" s="153" t="s">
        <v>23</v>
      </c>
      <c r="M126" s="153">
        <v>1</v>
      </c>
      <c r="N126" s="153" t="s">
        <v>34</v>
      </c>
      <c r="O126" s="153" t="s">
        <v>25</v>
      </c>
      <c r="P126" s="149">
        <f t="shared" si="1"/>
        <v>0</v>
      </c>
      <c r="Q126" s="157" t="s">
        <v>290</v>
      </c>
      <c r="R126" s="155" t="s">
        <v>223</v>
      </c>
      <c r="S126" s="158" t="s">
        <v>224</v>
      </c>
    </row>
    <row r="127" spans="2:19" ht="120" customHeight="1" x14ac:dyDescent="0.35">
      <c r="B127" s="152" t="s">
        <v>16</v>
      </c>
      <c r="C127" s="153" t="s">
        <v>16</v>
      </c>
      <c r="D127" s="154">
        <v>608649261817</v>
      </c>
      <c r="E127" s="157" t="s">
        <v>291</v>
      </c>
      <c r="F127" s="153" t="s">
        <v>218</v>
      </c>
      <c r="G127" s="153" t="s">
        <v>219</v>
      </c>
      <c r="H127" s="155" t="s">
        <v>220</v>
      </c>
      <c r="I127" s="156">
        <v>0</v>
      </c>
      <c r="J127" s="153" t="s">
        <v>221</v>
      </c>
      <c r="K127" s="153" t="s">
        <v>34</v>
      </c>
      <c r="L127" s="153" t="s">
        <v>23</v>
      </c>
      <c r="M127" s="153">
        <v>1</v>
      </c>
      <c r="N127" s="153" t="s">
        <v>34</v>
      </c>
      <c r="O127" s="153" t="s">
        <v>25</v>
      </c>
      <c r="P127" s="149">
        <f t="shared" si="1"/>
        <v>0</v>
      </c>
      <c r="Q127" s="157" t="s">
        <v>292</v>
      </c>
      <c r="R127" s="155" t="s">
        <v>223</v>
      </c>
      <c r="S127" s="158" t="s">
        <v>224</v>
      </c>
    </row>
    <row r="128" spans="2:19" ht="120" customHeight="1" x14ac:dyDescent="0.35">
      <c r="B128" s="152" t="s">
        <v>16</v>
      </c>
      <c r="C128" s="153" t="s">
        <v>16</v>
      </c>
      <c r="D128" s="154">
        <v>608649261817</v>
      </c>
      <c r="E128" s="157" t="s">
        <v>293</v>
      </c>
      <c r="F128" s="153" t="s">
        <v>218</v>
      </c>
      <c r="G128" s="153" t="s">
        <v>219</v>
      </c>
      <c r="H128" s="155" t="s">
        <v>220</v>
      </c>
      <c r="I128" s="156">
        <v>0</v>
      </c>
      <c r="J128" s="153" t="s">
        <v>221</v>
      </c>
      <c r="K128" s="153" t="s">
        <v>34</v>
      </c>
      <c r="L128" s="153" t="s">
        <v>23</v>
      </c>
      <c r="M128" s="153">
        <v>1</v>
      </c>
      <c r="N128" s="153" t="s">
        <v>34</v>
      </c>
      <c r="O128" s="153" t="s">
        <v>25</v>
      </c>
      <c r="P128" s="149">
        <f t="shared" si="1"/>
        <v>0</v>
      </c>
      <c r="Q128" s="157" t="s">
        <v>294</v>
      </c>
      <c r="R128" s="155" t="s">
        <v>223</v>
      </c>
      <c r="S128" s="158" t="s">
        <v>224</v>
      </c>
    </row>
    <row r="129" spans="2:19" ht="120" customHeight="1" x14ac:dyDescent="0.35">
      <c r="B129" s="152" t="s">
        <v>16</v>
      </c>
      <c r="C129" s="153" t="s">
        <v>16</v>
      </c>
      <c r="D129" s="154">
        <v>608649261817</v>
      </c>
      <c r="E129" s="157" t="s">
        <v>295</v>
      </c>
      <c r="F129" s="153" t="s">
        <v>218</v>
      </c>
      <c r="G129" s="153" t="s">
        <v>219</v>
      </c>
      <c r="H129" s="155" t="s">
        <v>220</v>
      </c>
      <c r="I129" s="156">
        <v>0</v>
      </c>
      <c r="J129" s="153" t="s">
        <v>221</v>
      </c>
      <c r="K129" s="153" t="s">
        <v>34</v>
      </c>
      <c r="L129" s="153" t="s">
        <v>23</v>
      </c>
      <c r="M129" s="153">
        <v>1</v>
      </c>
      <c r="N129" s="153" t="s">
        <v>34</v>
      </c>
      <c r="O129" s="153" t="s">
        <v>25</v>
      </c>
      <c r="P129" s="149">
        <f t="shared" si="1"/>
        <v>0</v>
      </c>
      <c r="Q129" s="157" t="s">
        <v>296</v>
      </c>
      <c r="R129" s="155" t="s">
        <v>223</v>
      </c>
      <c r="S129" s="158" t="s">
        <v>224</v>
      </c>
    </row>
    <row r="130" spans="2:19" ht="120" customHeight="1" x14ac:dyDescent="0.35">
      <c r="B130" s="152" t="s">
        <v>16</v>
      </c>
      <c r="C130" s="153" t="s">
        <v>16</v>
      </c>
      <c r="D130" s="154">
        <v>608649261817</v>
      </c>
      <c r="E130" s="157" t="s">
        <v>297</v>
      </c>
      <c r="F130" s="153" t="s">
        <v>218</v>
      </c>
      <c r="G130" s="153" t="s">
        <v>219</v>
      </c>
      <c r="H130" s="155" t="s">
        <v>267</v>
      </c>
      <c r="I130" s="156">
        <v>0</v>
      </c>
      <c r="J130" s="153" t="s">
        <v>221</v>
      </c>
      <c r="K130" s="153" t="s">
        <v>34</v>
      </c>
      <c r="L130" s="153" t="s">
        <v>23</v>
      </c>
      <c r="M130" s="153">
        <v>1</v>
      </c>
      <c r="N130" s="153" t="s">
        <v>34</v>
      </c>
      <c r="O130" s="153" t="s">
        <v>25</v>
      </c>
      <c r="P130" s="149">
        <f t="shared" si="1"/>
        <v>0</v>
      </c>
      <c r="Q130" s="157" t="s">
        <v>298</v>
      </c>
      <c r="R130" s="155" t="s">
        <v>223</v>
      </c>
      <c r="S130" s="158" t="s">
        <v>224</v>
      </c>
    </row>
    <row r="131" spans="2:19" ht="120" customHeight="1" x14ac:dyDescent="0.35">
      <c r="B131" s="152" t="s">
        <v>16</v>
      </c>
      <c r="C131" s="153" t="s">
        <v>16</v>
      </c>
      <c r="D131" s="154">
        <v>608649261817</v>
      </c>
      <c r="E131" s="157" t="s">
        <v>299</v>
      </c>
      <c r="F131" s="153" t="s">
        <v>218</v>
      </c>
      <c r="G131" s="153" t="s">
        <v>219</v>
      </c>
      <c r="H131" s="155" t="s">
        <v>267</v>
      </c>
      <c r="I131" s="156">
        <v>0</v>
      </c>
      <c r="J131" s="153" t="s">
        <v>221</v>
      </c>
      <c r="K131" s="153" t="s">
        <v>34</v>
      </c>
      <c r="L131" s="153" t="s">
        <v>23</v>
      </c>
      <c r="M131" s="153">
        <v>1</v>
      </c>
      <c r="N131" s="153" t="s">
        <v>34</v>
      </c>
      <c r="O131" s="153" t="s">
        <v>25</v>
      </c>
      <c r="P131" s="149">
        <f t="shared" si="1"/>
        <v>0</v>
      </c>
      <c r="Q131" s="157" t="s">
        <v>300</v>
      </c>
      <c r="R131" s="155" t="s">
        <v>223</v>
      </c>
      <c r="S131" s="158" t="s">
        <v>224</v>
      </c>
    </row>
    <row r="132" spans="2:19" ht="120" customHeight="1" x14ac:dyDescent="0.35">
      <c r="B132" s="152" t="s">
        <v>16</v>
      </c>
      <c r="C132" s="153" t="s">
        <v>16</v>
      </c>
      <c r="D132" s="154">
        <v>608649261817</v>
      </c>
      <c r="E132" s="157" t="s">
        <v>301</v>
      </c>
      <c r="F132" s="153" t="s">
        <v>218</v>
      </c>
      <c r="G132" s="153" t="s">
        <v>219</v>
      </c>
      <c r="H132" s="155" t="s">
        <v>220</v>
      </c>
      <c r="I132" s="156">
        <v>0</v>
      </c>
      <c r="J132" s="153" t="s">
        <v>221</v>
      </c>
      <c r="K132" s="153" t="s">
        <v>34</v>
      </c>
      <c r="L132" s="153" t="s">
        <v>23</v>
      </c>
      <c r="M132" s="153">
        <v>1</v>
      </c>
      <c r="N132" s="153" t="s">
        <v>34</v>
      </c>
      <c r="O132" s="153" t="s">
        <v>25</v>
      </c>
      <c r="P132" s="149">
        <f t="shared" ref="P132:P181" si="2">(I132*12)</f>
        <v>0</v>
      </c>
      <c r="Q132" s="157" t="s">
        <v>302</v>
      </c>
      <c r="R132" s="155" t="s">
        <v>223</v>
      </c>
      <c r="S132" s="158" t="s">
        <v>224</v>
      </c>
    </row>
    <row r="133" spans="2:19" ht="120" customHeight="1" x14ac:dyDescent="0.35">
      <c r="B133" s="152" t="s">
        <v>16</v>
      </c>
      <c r="C133" s="153" t="s">
        <v>16</v>
      </c>
      <c r="D133" s="154">
        <v>608649261817</v>
      </c>
      <c r="E133" s="157" t="s">
        <v>303</v>
      </c>
      <c r="F133" s="153" t="s">
        <v>218</v>
      </c>
      <c r="G133" s="153" t="s">
        <v>219</v>
      </c>
      <c r="H133" s="155" t="s">
        <v>220</v>
      </c>
      <c r="I133" s="156">
        <v>0</v>
      </c>
      <c r="J133" s="153" t="s">
        <v>221</v>
      </c>
      <c r="K133" s="153" t="s">
        <v>34</v>
      </c>
      <c r="L133" s="153" t="s">
        <v>23</v>
      </c>
      <c r="M133" s="153">
        <v>1</v>
      </c>
      <c r="N133" s="153" t="s">
        <v>34</v>
      </c>
      <c r="O133" s="153" t="s">
        <v>25</v>
      </c>
      <c r="P133" s="149">
        <f t="shared" si="2"/>
        <v>0</v>
      </c>
      <c r="Q133" s="157" t="s">
        <v>304</v>
      </c>
      <c r="R133" s="155" t="s">
        <v>223</v>
      </c>
      <c r="S133" s="158" t="s">
        <v>224</v>
      </c>
    </row>
    <row r="134" spans="2:19" ht="120" customHeight="1" x14ac:dyDescent="0.35">
      <c r="B134" s="152" t="s">
        <v>16</v>
      </c>
      <c r="C134" s="153" t="s">
        <v>16</v>
      </c>
      <c r="D134" s="154">
        <v>608649261817</v>
      </c>
      <c r="E134" s="157" t="s">
        <v>305</v>
      </c>
      <c r="F134" s="153" t="s">
        <v>218</v>
      </c>
      <c r="G134" s="153" t="s">
        <v>219</v>
      </c>
      <c r="H134" s="155" t="s">
        <v>220</v>
      </c>
      <c r="I134" s="156">
        <v>0</v>
      </c>
      <c r="J134" s="153" t="s">
        <v>221</v>
      </c>
      <c r="K134" s="153" t="s">
        <v>34</v>
      </c>
      <c r="L134" s="153" t="s">
        <v>23</v>
      </c>
      <c r="M134" s="153">
        <v>1</v>
      </c>
      <c r="N134" s="153" t="s">
        <v>34</v>
      </c>
      <c r="O134" s="153" t="s">
        <v>25</v>
      </c>
      <c r="P134" s="149">
        <f t="shared" si="2"/>
        <v>0</v>
      </c>
      <c r="Q134" s="157" t="s">
        <v>306</v>
      </c>
      <c r="R134" s="155" t="s">
        <v>223</v>
      </c>
      <c r="S134" s="158" t="s">
        <v>224</v>
      </c>
    </row>
    <row r="135" spans="2:19" ht="120" customHeight="1" x14ac:dyDescent="0.35">
      <c r="B135" s="152" t="s">
        <v>16</v>
      </c>
      <c r="C135" s="153" t="s">
        <v>16</v>
      </c>
      <c r="D135" s="154">
        <v>608649261817</v>
      </c>
      <c r="E135" s="157" t="s">
        <v>307</v>
      </c>
      <c r="F135" s="153" t="s">
        <v>218</v>
      </c>
      <c r="G135" s="153" t="s">
        <v>219</v>
      </c>
      <c r="H135" s="155" t="s">
        <v>220</v>
      </c>
      <c r="I135" s="156">
        <v>0</v>
      </c>
      <c r="J135" s="153" t="s">
        <v>221</v>
      </c>
      <c r="K135" s="153" t="s">
        <v>34</v>
      </c>
      <c r="L135" s="153" t="s">
        <v>23</v>
      </c>
      <c r="M135" s="153">
        <v>1</v>
      </c>
      <c r="N135" s="153" t="s">
        <v>34</v>
      </c>
      <c r="O135" s="153" t="s">
        <v>25</v>
      </c>
      <c r="P135" s="149">
        <f t="shared" si="2"/>
        <v>0</v>
      </c>
      <c r="Q135" s="157" t="s">
        <v>308</v>
      </c>
      <c r="R135" s="155" t="s">
        <v>223</v>
      </c>
      <c r="S135" s="158" t="s">
        <v>224</v>
      </c>
    </row>
    <row r="136" spans="2:19" ht="120" customHeight="1" x14ac:dyDescent="0.35">
      <c r="B136" s="152" t="s">
        <v>16</v>
      </c>
      <c r="C136" s="153" t="s">
        <v>16</v>
      </c>
      <c r="D136" s="154">
        <v>608649261817</v>
      </c>
      <c r="E136" s="157" t="s">
        <v>309</v>
      </c>
      <c r="F136" s="153" t="s">
        <v>218</v>
      </c>
      <c r="G136" s="153" t="s">
        <v>219</v>
      </c>
      <c r="H136" s="155" t="s">
        <v>220</v>
      </c>
      <c r="I136" s="156">
        <v>0</v>
      </c>
      <c r="J136" s="153" t="s">
        <v>221</v>
      </c>
      <c r="K136" s="153" t="s">
        <v>34</v>
      </c>
      <c r="L136" s="153" t="s">
        <v>23</v>
      </c>
      <c r="M136" s="153">
        <v>1</v>
      </c>
      <c r="N136" s="153" t="s">
        <v>34</v>
      </c>
      <c r="O136" s="153" t="s">
        <v>25</v>
      </c>
      <c r="P136" s="149">
        <f t="shared" si="2"/>
        <v>0</v>
      </c>
      <c r="Q136" s="157" t="s">
        <v>310</v>
      </c>
      <c r="R136" s="155" t="s">
        <v>223</v>
      </c>
      <c r="S136" s="158" t="s">
        <v>224</v>
      </c>
    </row>
    <row r="137" spans="2:19" ht="120" customHeight="1" x14ac:dyDescent="0.35">
      <c r="B137" s="152" t="s">
        <v>16</v>
      </c>
      <c r="C137" s="153" t="s">
        <v>16</v>
      </c>
      <c r="D137" s="154">
        <v>608649261817</v>
      </c>
      <c r="E137" s="157" t="s">
        <v>311</v>
      </c>
      <c r="F137" s="153" t="s">
        <v>218</v>
      </c>
      <c r="G137" s="153" t="s">
        <v>219</v>
      </c>
      <c r="H137" s="155" t="s">
        <v>267</v>
      </c>
      <c r="I137" s="156">
        <v>0</v>
      </c>
      <c r="J137" s="153" t="s">
        <v>221</v>
      </c>
      <c r="K137" s="153" t="s">
        <v>34</v>
      </c>
      <c r="L137" s="153" t="s">
        <v>23</v>
      </c>
      <c r="M137" s="153">
        <v>1</v>
      </c>
      <c r="N137" s="153" t="s">
        <v>34</v>
      </c>
      <c r="O137" s="153" t="s">
        <v>25</v>
      </c>
      <c r="P137" s="149">
        <f t="shared" si="2"/>
        <v>0</v>
      </c>
      <c r="Q137" s="157" t="s">
        <v>312</v>
      </c>
      <c r="R137" s="155" t="s">
        <v>223</v>
      </c>
      <c r="S137" s="158" t="s">
        <v>224</v>
      </c>
    </row>
    <row r="138" spans="2:19" ht="120" customHeight="1" x14ac:dyDescent="0.35">
      <c r="B138" s="152" t="s">
        <v>16</v>
      </c>
      <c r="C138" s="153" t="s">
        <v>16</v>
      </c>
      <c r="D138" s="154">
        <v>608649261817</v>
      </c>
      <c r="E138" s="157" t="s">
        <v>313</v>
      </c>
      <c r="F138" s="153" t="s">
        <v>218</v>
      </c>
      <c r="G138" s="153" t="s">
        <v>219</v>
      </c>
      <c r="H138" s="155" t="s">
        <v>220</v>
      </c>
      <c r="I138" s="156">
        <v>0</v>
      </c>
      <c r="J138" s="153" t="s">
        <v>221</v>
      </c>
      <c r="K138" s="153" t="s">
        <v>34</v>
      </c>
      <c r="L138" s="153" t="s">
        <v>23</v>
      </c>
      <c r="M138" s="153">
        <v>1</v>
      </c>
      <c r="N138" s="153" t="s">
        <v>34</v>
      </c>
      <c r="O138" s="153" t="s">
        <v>25</v>
      </c>
      <c r="P138" s="149">
        <f t="shared" si="2"/>
        <v>0</v>
      </c>
      <c r="Q138" s="157" t="s">
        <v>314</v>
      </c>
      <c r="R138" s="155" t="s">
        <v>223</v>
      </c>
      <c r="S138" s="158" t="s">
        <v>224</v>
      </c>
    </row>
    <row r="139" spans="2:19" ht="120" customHeight="1" x14ac:dyDescent="0.35">
      <c r="B139" s="152" t="s">
        <v>16</v>
      </c>
      <c r="C139" s="153" t="s">
        <v>16</v>
      </c>
      <c r="D139" s="154">
        <v>608649261817</v>
      </c>
      <c r="E139" s="157" t="s">
        <v>315</v>
      </c>
      <c r="F139" s="153" t="s">
        <v>218</v>
      </c>
      <c r="G139" s="153" t="s">
        <v>219</v>
      </c>
      <c r="H139" s="155" t="s">
        <v>220</v>
      </c>
      <c r="I139" s="156">
        <v>0</v>
      </c>
      <c r="J139" s="153" t="s">
        <v>221</v>
      </c>
      <c r="K139" s="153" t="s">
        <v>34</v>
      </c>
      <c r="L139" s="153" t="s">
        <v>23</v>
      </c>
      <c r="M139" s="153">
        <v>1</v>
      </c>
      <c r="N139" s="153" t="s">
        <v>34</v>
      </c>
      <c r="O139" s="153" t="s">
        <v>25</v>
      </c>
      <c r="P139" s="149">
        <f t="shared" si="2"/>
        <v>0</v>
      </c>
      <c r="Q139" s="157" t="s">
        <v>316</v>
      </c>
      <c r="R139" s="155" t="s">
        <v>223</v>
      </c>
      <c r="S139" s="158" t="s">
        <v>224</v>
      </c>
    </row>
    <row r="140" spans="2:19" ht="120" customHeight="1" x14ac:dyDescent="0.35">
      <c r="B140" s="152" t="s">
        <v>16</v>
      </c>
      <c r="C140" s="153" t="s">
        <v>16</v>
      </c>
      <c r="D140" s="154">
        <v>608649261817</v>
      </c>
      <c r="E140" s="157" t="s">
        <v>317</v>
      </c>
      <c r="F140" s="153" t="s">
        <v>218</v>
      </c>
      <c r="G140" s="153" t="s">
        <v>219</v>
      </c>
      <c r="H140" s="155" t="s">
        <v>220</v>
      </c>
      <c r="I140" s="156">
        <v>0</v>
      </c>
      <c r="J140" s="153" t="s">
        <v>221</v>
      </c>
      <c r="K140" s="153" t="s">
        <v>34</v>
      </c>
      <c r="L140" s="153" t="s">
        <v>23</v>
      </c>
      <c r="M140" s="153">
        <v>1</v>
      </c>
      <c r="N140" s="153" t="s">
        <v>34</v>
      </c>
      <c r="O140" s="153" t="s">
        <v>25</v>
      </c>
      <c r="P140" s="149">
        <f t="shared" si="2"/>
        <v>0</v>
      </c>
      <c r="Q140" s="157" t="s">
        <v>318</v>
      </c>
      <c r="R140" s="155" t="s">
        <v>223</v>
      </c>
      <c r="S140" s="158" t="s">
        <v>224</v>
      </c>
    </row>
    <row r="141" spans="2:19" ht="120" customHeight="1" x14ac:dyDescent="0.35">
      <c r="B141" s="152" t="s">
        <v>16</v>
      </c>
      <c r="C141" s="153" t="s">
        <v>16</v>
      </c>
      <c r="D141" s="154">
        <v>608649261817</v>
      </c>
      <c r="E141" s="157" t="s">
        <v>319</v>
      </c>
      <c r="F141" s="153" t="s">
        <v>218</v>
      </c>
      <c r="G141" s="153" t="s">
        <v>219</v>
      </c>
      <c r="H141" s="155" t="s">
        <v>220</v>
      </c>
      <c r="I141" s="156">
        <v>0</v>
      </c>
      <c r="J141" s="153" t="s">
        <v>221</v>
      </c>
      <c r="K141" s="153" t="s">
        <v>34</v>
      </c>
      <c r="L141" s="153" t="s">
        <v>23</v>
      </c>
      <c r="M141" s="153">
        <v>1</v>
      </c>
      <c r="N141" s="153" t="s">
        <v>34</v>
      </c>
      <c r="O141" s="153" t="s">
        <v>25</v>
      </c>
      <c r="P141" s="149">
        <f t="shared" si="2"/>
        <v>0</v>
      </c>
      <c r="Q141" s="157" t="s">
        <v>320</v>
      </c>
      <c r="R141" s="155" t="s">
        <v>223</v>
      </c>
      <c r="S141" s="158" t="s">
        <v>224</v>
      </c>
    </row>
    <row r="142" spans="2:19" ht="120" customHeight="1" x14ac:dyDescent="0.35">
      <c r="B142" s="152" t="s">
        <v>16</v>
      </c>
      <c r="C142" s="153" t="s">
        <v>16</v>
      </c>
      <c r="D142" s="154">
        <v>608649261817</v>
      </c>
      <c r="E142" s="157" t="s">
        <v>321</v>
      </c>
      <c r="F142" s="153" t="s">
        <v>218</v>
      </c>
      <c r="G142" s="153" t="s">
        <v>219</v>
      </c>
      <c r="H142" s="155" t="s">
        <v>220</v>
      </c>
      <c r="I142" s="156">
        <v>0</v>
      </c>
      <c r="J142" s="153" t="s">
        <v>221</v>
      </c>
      <c r="K142" s="153" t="s">
        <v>34</v>
      </c>
      <c r="L142" s="153" t="s">
        <v>23</v>
      </c>
      <c r="M142" s="153">
        <v>1</v>
      </c>
      <c r="N142" s="153" t="s">
        <v>34</v>
      </c>
      <c r="O142" s="153" t="s">
        <v>25</v>
      </c>
      <c r="P142" s="149">
        <f t="shared" si="2"/>
        <v>0</v>
      </c>
      <c r="Q142" s="157" t="s">
        <v>322</v>
      </c>
      <c r="R142" s="155" t="s">
        <v>223</v>
      </c>
      <c r="S142" s="158" t="s">
        <v>224</v>
      </c>
    </row>
    <row r="143" spans="2:19" ht="120" customHeight="1" x14ac:dyDescent="0.35">
      <c r="B143" s="152" t="s">
        <v>16</v>
      </c>
      <c r="C143" s="153" t="s">
        <v>16</v>
      </c>
      <c r="D143" s="154">
        <v>608649261817</v>
      </c>
      <c r="E143" s="157" t="s">
        <v>323</v>
      </c>
      <c r="F143" s="153" t="s">
        <v>218</v>
      </c>
      <c r="G143" s="153" t="s">
        <v>219</v>
      </c>
      <c r="H143" s="155" t="s">
        <v>220</v>
      </c>
      <c r="I143" s="156">
        <v>0</v>
      </c>
      <c r="J143" s="153" t="s">
        <v>221</v>
      </c>
      <c r="K143" s="153" t="s">
        <v>34</v>
      </c>
      <c r="L143" s="153" t="s">
        <v>23</v>
      </c>
      <c r="M143" s="153">
        <v>1</v>
      </c>
      <c r="N143" s="153" t="s">
        <v>34</v>
      </c>
      <c r="O143" s="153" t="s">
        <v>25</v>
      </c>
      <c r="P143" s="149">
        <f t="shared" si="2"/>
        <v>0</v>
      </c>
      <c r="Q143" s="157" t="s">
        <v>324</v>
      </c>
      <c r="R143" s="155" t="s">
        <v>223</v>
      </c>
      <c r="S143" s="158" t="s">
        <v>224</v>
      </c>
    </row>
    <row r="144" spans="2:19" ht="120" customHeight="1" x14ac:dyDescent="0.35">
      <c r="B144" s="152" t="s">
        <v>16</v>
      </c>
      <c r="C144" s="153" t="s">
        <v>16</v>
      </c>
      <c r="D144" s="154">
        <v>608649261817</v>
      </c>
      <c r="E144" s="157" t="s">
        <v>325</v>
      </c>
      <c r="F144" s="153" t="s">
        <v>218</v>
      </c>
      <c r="G144" s="153" t="s">
        <v>219</v>
      </c>
      <c r="H144" s="155" t="s">
        <v>220</v>
      </c>
      <c r="I144" s="156">
        <v>0</v>
      </c>
      <c r="J144" s="153" t="s">
        <v>221</v>
      </c>
      <c r="K144" s="153" t="s">
        <v>34</v>
      </c>
      <c r="L144" s="153" t="s">
        <v>23</v>
      </c>
      <c r="M144" s="153">
        <v>1</v>
      </c>
      <c r="N144" s="153" t="s">
        <v>34</v>
      </c>
      <c r="O144" s="153" t="s">
        <v>25</v>
      </c>
      <c r="P144" s="149">
        <f t="shared" si="2"/>
        <v>0</v>
      </c>
      <c r="Q144" s="157" t="s">
        <v>326</v>
      </c>
      <c r="R144" s="155" t="s">
        <v>223</v>
      </c>
      <c r="S144" s="158" t="s">
        <v>224</v>
      </c>
    </row>
    <row r="145" spans="2:19" ht="120" customHeight="1" x14ac:dyDescent="0.35">
      <c r="B145" s="152" t="s">
        <v>16</v>
      </c>
      <c r="C145" s="153" t="s">
        <v>16</v>
      </c>
      <c r="D145" s="154">
        <v>608649261817</v>
      </c>
      <c r="E145" s="157" t="s">
        <v>327</v>
      </c>
      <c r="F145" s="153" t="s">
        <v>218</v>
      </c>
      <c r="G145" s="153" t="s">
        <v>219</v>
      </c>
      <c r="H145" s="155" t="s">
        <v>220</v>
      </c>
      <c r="I145" s="156">
        <v>0</v>
      </c>
      <c r="J145" s="153" t="s">
        <v>221</v>
      </c>
      <c r="K145" s="153" t="s">
        <v>34</v>
      </c>
      <c r="L145" s="153" t="s">
        <v>23</v>
      </c>
      <c r="M145" s="153">
        <v>1</v>
      </c>
      <c r="N145" s="153" t="s">
        <v>34</v>
      </c>
      <c r="O145" s="153" t="s">
        <v>25</v>
      </c>
      <c r="P145" s="149">
        <f t="shared" si="2"/>
        <v>0</v>
      </c>
      <c r="Q145" s="157" t="s">
        <v>328</v>
      </c>
      <c r="R145" s="155" t="s">
        <v>223</v>
      </c>
      <c r="S145" s="158" t="s">
        <v>224</v>
      </c>
    </row>
    <row r="146" spans="2:19" ht="120" customHeight="1" x14ac:dyDescent="0.35">
      <c r="B146" s="152" t="s">
        <v>16</v>
      </c>
      <c r="C146" s="153" t="s">
        <v>16</v>
      </c>
      <c r="D146" s="154">
        <v>608649261817</v>
      </c>
      <c r="E146" s="157" t="s">
        <v>329</v>
      </c>
      <c r="F146" s="153" t="s">
        <v>218</v>
      </c>
      <c r="G146" s="153" t="s">
        <v>219</v>
      </c>
      <c r="H146" s="155" t="s">
        <v>220</v>
      </c>
      <c r="I146" s="156">
        <v>0</v>
      </c>
      <c r="J146" s="153" t="s">
        <v>221</v>
      </c>
      <c r="K146" s="153" t="s">
        <v>34</v>
      </c>
      <c r="L146" s="153" t="s">
        <v>23</v>
      </c>
      <c r="M146" s="153">
        <v>1</v>
      </c>
      <c r="N146" s="153" t="s">
        <v>34</v>
      </c>
      <c r="O146" s="153" t="s">
        <v>25</v>
      </c>
      <c r="P146" s="149">
        <f t="shared" si="2"/>
        <v>0</v>
      </c>
      <c r="Q146" s="157" t="s">
        <v>330</v>
      </c>
      <c r="R146" s="155" t="s">
        <v>223</v>
      </c>
      <c r="S146" s="158" t="s">
        <v>224</v>
      </c>
    </row>
    <row r="147" spans="2:19" ht="120" customHeight="1" x14ac:dyDescent="0.35">
      <c r="B147" s="152" t="s">
        <v>16</v>
      </c>
      <c r="C147" s="153" t="s">
        <v>16</v>
      </c>
      <c r="D147" s="154">
        <v>608649261817</v>
      </c>
      <c r="E147" s="157" t="s">
        <v>331</v>
      </c>
      <c r="F147" s="153" t="s">
        <v>218</v>
      </c>
      <c r="G147" s="153" t="s">
        <v>219</v>
      </c>
      <c r="H147" s="155" t="s">
        <v>220</v>
      </c>
      <c r="I147" s="156">
        <v>0</v>
      </c>
      <c r="J147" s="153" t="s">
        <v>221</v>
      </c>
      <c r="K147" s="153" t="s">
        <v>34</v>
      </c>
      <c r="L147" s="153" t="s">
        <v>23</v>
      </c>
      <c r="M147" s="153">
        <v>1</v>
      </c>
      <c r="N147" s="153" t="s">
        <v>34</v>
      </c>
      <c r="O147" s="153" t="s">
        <v>25</v>
      </c>
      <c r="P147" s="149">
        <f t="shared" si="2"/>
        <v>0</v>
      </c>
      <c r="Q147" s="157" t="s">
        <v>332</v>
      </c>
      <c r="R147" s="155" t="s">
        <v>223</v>
      </c>
      <c r="S147" s="158" t="s">
        <v>224</v>
      </c>
    </row>
    <row r="148" spans="2:19" ht="120" customHeight="1" x14ac:dyDescent="0.35">
      <c r="B148" s="152" t="s">
        <v>16</v>
      </c>
      <c r="C148" s="153" t="s">
        <v>16</v>
      </c>
      <c r="D148" s="154">
        <v>608649261817</v>
      </c>
      <c r="E148" s="157" t="s">
        <v>333</v>
      </c>
      <c r="F148" s="153" t="s">
        <v>218</v>
      </c>
      <c r="G148" s="153" t="s">
        <v>219</v>
      </c>
      <c r="H148" s="155" t="s">
        <v>220</v>
      </c>
      <c r="I148" s="156">
        <v>0</v>
      </c>
      <c r="J148" s="153" t="s">
        <v>221</v>
      </c>
      <c r="K148" s="153" t="s">
        <v>34</v>
      </c>
      <c r="L148" s="153" t="s">
        <v>23</v>
      </c>
      <c r="M148" s="153">
        <v>1</v>
      </c>
      <c r="N148" s="153" t="s">
        <v>34</v>
      </c>
      <c r="O148" s="153" t="s">
        <v>25</v>
      </c>
      <c r="P148" s="149">
        <f t="shared" si="2"/>
        <v>0</v>
      </c>
      <c r="Q148" s="157" t="s">
        <v>334</v>
      </c>
      <c r="R148" s="155" t="s">
        <v>223</v>
      </c>
      <c r="S148" s="158" t="s">
        <v>224</v>
      </c>
    </row>
    <row r="149" spans="2:19" ht="120" customHeight="1" x14ac:dyDescent="0.35">
      <c r="B149" s="152" t="s">
        <v>16</v>
      </c>
      <c r="C149" s="153" t="s">
        <v>16</v>
      </c>
      <c r="D149" s="154">
        <v>608649261817</v>
      </c>
      <c r="E149" s="157" t="s">
        <v>335</v>
      </c>
      <c r="F149" s="153" t="s">
        <v>218</v>
      </c>
      <c r="G149" s="153" t="s">
        <v>219</v>
      </c>
      <c r="H149" s="155" t="s">
        <v>220</v>
      </c>
      <c r="I149" s="156">
        <v>0</v>
      </c>
      <c r="J149" s="153" t="s">
        <v>221</v>
      </c>
      <c r="K149" s="153" t="s">
        <v>34</v>
      </c>
      <c r="L149" s="153" t="s">
        <v>23</v>
      </c>
      <c r="M149" s="153">
        <v>1</v>
      </c>
      <c r="N149" s="153" t="s">
        <v>34</v>
      </c>
      <c r="O149" s="153" t="s">
        <v>25</v>
      </c>
      <c r="P149" s="149">
        <f t="shared" si="2"/>
        <v>0</v>
      </c>
      <c r="Q149" s="157" t="s">
        <v>336</v>
      </c>
      <c r="R149" s="155" t="s">
        <v>223</v>
      </c>
      <c r="S149" s="158" t="s">
        <v>224</v>
      </c>
    </row>
    <row r="150" spans="2:19" ht="120" customHeight="1" x14ac:dyDescent="0.35">
      <c r="B150" s="152" t="s">
        <v>16</v>
      </c>
      <c r="C150" s="153" t="s">
        <v>16</v>
      </c>
      <c r="D150" s="154">
        <v>608649261817</v>
      </c>
      <c r="E150" s="157" t="s">
        <v>337</v>
      </c>
      <c r="F150" s="153" t="s">
        <v>218</v>
      </c>
      <c r="G150" s="153" t="s">
        <v>219</v>
      </c>
      <c r="H150" s="155" t="s">
        <v>220</v>
      </c>
      <c r="I150" s="156">
        <v>0</v>
      </c>
      <c r="J150" s="153" t="s">
        <v>221</v>
      </c>
      <c r="K150" s="153" t="s">
        <v>34</v>
      </c>
      <c r="L150" s="153" t="s">
        <v>23</v>
      </c>
      <c r="M150" s="153">
        <v>1</v>
      </c>
      <c r="N150" s="153" t="s">
        <v>34</v>
      </c>
      <c r="O150" s="153" t="s">
        <v>25</v>
      </c>
      <c r="P150" s="149">
        <f t="shared" si="2"/>
        <v>0</v>
      </c>
      <c r="Q150" s="157" t="s">
        <v>338</v>
      </c>
      <c r="R150" s="155" t="s">
        <v>223</v>
      </c>
      <c r="S150" s="158" t="s">
        <v>224</v>
      </c>
    </row>
    <row r="151" spans="2:19" ht="120" customHeight="1" x14ac:dyDescent="0.35">
      <c r="B151" s="152" t="s">
        <v>16</v>
      </c>
      <c r="C151" s="153" t="s">
        <v>16</v>
      </c>
      <c r="D151" s="154">
        <v>608649261817</v>
      </c>
      <c r="E151" s="157" t="s">
        <v>339</v>
      </c>
      <c r="F151" s="153" t="s">
        <v>218</v>
      </c>
      <c r="G151" s="153" t="s">
        <v>219</v>
      </c>
      <c r="H151" s="155" t="s">
        <v>220</v>
      </c>
      <c r="I151" s="156">
        <v>0</v>
      </c>
      <c r="J151" s="153" t="s">
        <v>221</v>
      </c>
      <c r="K151" s="153" t="s">
        <v>34</v>
      </c>
      <c r="L151" s="153" t="s">
        <v>23</v>
      </c>
      <c r="M151" s="153">
        <v>1</v>
      </c>
      <c r="N151" s="153" t="s">
        <v>34</v>
      </c>
      <c r="O151" s="153" t="s">
        <v>25</v>
      </c>
      <c r="P151" s="149">
        <f t="shared" si="2"/>
        <v>0</v>
      </c>
      <c r="Q151" s="157" t="s">
        <v>340</v>
      </c>
      <c r="R151" s="155" t="s">
        <v>223</v>
      </c>
      <c r="S151" s="158" t="s">
        <v>224</v>
      </c>
    </row>
    <row r="152" spans="2:19" ht="120" customHeight="1" x14ac:dyDescent="0.35">
      <c r="B152" s="152" t="s">
        <v>16</v>
      </c>
      <c r="C152" s="153" t="s">
        <v>16</v>
      </c>
      <c r="D152" s="154">
        <v>608649261817</v>
      </c>
      <c r="E152" s="157" t="s">
        <v>341</v>
      </c>
      <c r="F152" s="153" t="s">
        <v>218</v>
      </c>
      <c r="G152" s="153" t="s">
        <v>219</v>
      </c>
      <c r="H152" s="155" t="s">
        <v>220</v>
      </c>
      <c r="I152" s="156">
        <v>0</v>
      </c>
      <c r="J152" s="153" t="s">
        <v>221</v>
      </c>
      <c r="K152" s="153" t="s">
        <v>34</v>
      </c>
      <c r="L152" s="153" t="s">
        <v>23</v>
      </c>
      <c r="M152" s="153">
        <v>1</v>
      </c>
      <c r="N152" s="153" t="s">
        <v>34</v>
      </c>
      <c r="O152" s="153" t="s">
        <v>25</v>
      </c>
      <c r="P152" s="149">
        <f t="shared" si="2"/>
        <v>0</v>
      </c>
      <c r="Q152" s="157" t="s">
        <v>342</v>
      </c>
      <c r="R152" s="155" t="s">
        <v>223</v>
      </c>
      <c r="S152" s="158" t="s">
        <v>224</v>
      </c>
    </row>
    <row r="153" spans="2:19" ht="120" customHeight="1" x14ac:dyDescent="0.35">
      <c r="B153" s="152" t="s">
        <v>16</v>
      </c>
      <c r="C153" s="153" t="s">
        <v>16</v>
      </c>
      <c r="D153" s="154">
        <v>608649261817</v>
      </c>
      <c r="E153" s="157" t="s">
        <v>343</v>
      </c>
      <c r="F153" s="153" t="s">
        <v>218</v>
      </c>
      <c r="G153" s="153" t="s">
        <v>219</v>
      </c>
      <c r="H153" s="155" t="s">
        <v>220</v>
      </c>
      <c r="I153" s="156">
        <v>0</v>
      </c>
      <c r="J153" s="153" t="s">
        <v>221</v>
      </c>
      <c r="K153" s="153" t="s">
        <v>34</v>
      </c>
      <c r="L153" s="153" t="s">
        <v>23</v>
      </c>
      <c r="M153" s="153">
        <v>1</v>
      </c>
      <c r="N153" s="153" t="s">
        <v>34</v>
      </c>
      <c r="O153" s="153" t="s">
        <v>25</v>
      </c>
      <c r="P153" s="149">
        <f t="shared" si="2"/>
        <v>0</v>
      </c>
      <c r="Q153" s="157" t="s">
        <v>344</v>
      </c>
      <c r="R153" s="155" t="s">
        <v>223</v>
      </c>
      <c r="S153" s="158" t="s">
        <v>224</v>
      </c>
    </row>
    <row r="154" spans="2:19" ht="120" customHeight="1" x14ac:dyDescent="0.35">
      <c r="B154" s="152" t="s">
        <v>16</v>
      </c>
      <c r="C154" s="153" t="s">
        <v>16</v>
      </c>
      <c r="D154" s="154">
        <v>608649261817</v>
      </c>
      <c r="E154" s="157" t="s">
        <v>345</v>
      </c>
      <c r="F154" s="153" t="s">
        <v>218</v>
      </c>
      <c r="G154" s="153" t="s">
        <v>219</v>
      </c>
      <c r="H154" s="155" t="s">
        <v>267</v>
      </c>
      <c r="I154" s="156">
        <v>0</v>
      </c>
      <c r="J154" s="153" t="s">
        <v>221</v>
      </c>
      <c r="K154" s="153" t="s">
        <v>34</v>
      </c>
      <c r="L154" s="153" t="s">
        <v>23</v>
      </c>
      <c r="M154" s="153">
        <v>1</v>
      </c>
      <c r="N154" s="153" t="s">
        <v>34</v>
      </c>
      <c r="O154" s="153" t="s">
        <v>25</v>
      </c>
      <c r="P154" s="149">
        <f t="shared" si="2"/>
        <v>0</v>
      </c>
      <c r="Q154" s="157" t="s">
        <v>346</v>
      </c>
      <c r="R154" s="155" t="s">
        <v>223</v>
      </c>
      <c r="S154" s="158" t="s">
        <v>224</v>
      </c>
    </row>
    <row r="155" spans="2:19" ht="120" customHeight="1" x14ac:dyDescent="0.35">
      <c r="B155" s="152" t="s">
        <v>16</v>
      </c>
      <c r="C155" s="153" t="s">
        <v>16</v>
      </c>
      <c r="D155" s="154">
        <v>608649261817</v>
      </c>
      <c r="E155" s="157" t="s">
        <v>347</v>
      </c>
      <c r="F155" s="153" t="s">
        <v>218</v>
      </c>
      <c r="G155" s="153" t="s">
        <v>219</v>
      </c>
      <c r="H155" s="155" t="s">
        <v>220</v>
      </c>
      <c r="I155" s="156">
        <v>0</v>
      </c>
      <c r="J155" s="153" t="s">
        <v>221</v>
      </c>
      <c r="K155" s="153" t="s">
        <v>34</v>
      </c>
      <c r="L155" s="153" t="s">
        <v>23</v>
      </c>
      <c r="M155" s="153">
        <v>1</v>
      </c>
      <c r="N155" s="153" t="s">
        <v>34</v>
      </c>
      <c r="O155" s="153" t="s">
        <v>25</v>
      </c>
      <c r="P155" s="149">
        <f t="shared" si="2"/>
        <v>0</v>
      </c>
      <c r="Q155" s="157" t="s">
        <v>348</v>
      </c>
      <c r="R155" s="155" t="s">
        <v>223</v>
      </c>
      <c r="S155" s="158" t="s">
        <v>224</v>
      </c>
    </row>
    <row r="156" spans="2:19" ht="120" customHeight="1" x14ac:dyDescent="0.35">
      <c r="B156" s="152" t="s">
        <v>16</v>
      </c>
      <c r="C156" s="153" t="s">
        <v>16</v>
      </c>
      <c r="D156" s="154">
        <v>608649261817</v>
      </c>
      <c r="E156" s="157" t="s">
        <v>349</v>
      </c>
      <c r="F156" s="153" t="s">
        <v>218</v>
      </c>
      <c r="G156" s="153" t="s">
        <v>219</v>
      </c>
      <c r="H156" s="155" t="s">
        <v>220</v>
      </c>
      <c r="I156" s="156">
        <v>0</v>
      </c>
      <c r="J156" s="153" t="s">
        <v>221</v>
      </c>
      <c r="K156" s="153" t="s">
        <v>34</v>
      </c>
      <c r="L156" s="153" t="s">
        <v>23</v>
      </c>
      <c r="M156" s="153">
        <v>1</v>
      </c>
      <c r="N156" s="153" t="s">
        <v>34</v>
      </c>
      <c r="O156" s="153" t="s">
        <v>25</v>
      </c>
      <c r="P156" s="149">
        <f t="shared" si="2"/>
        <v>0</v>
      </c>
      <c r="Q156" s="157" t="s">
        <v>350</v>
      </c>
      <c r="R156" s="155" t="s">
        <v>223</v>
      </c>
      <c r="S156" s="158" t="s">
        <v>224</v>
      </c>
    </row>
    <row r="157" spans="2:19" ht="120" customHeight="1" x14ac:dyDescent="0.35">
      <c r="B157" s="152" t="s">
        <v>16</v>
      </c>
      <c r="C157" s="153" t="s">
        <v>16</v>
      </c>
      <c r="D157" s="154">
        <v>608649261817</v>
      </c>
      <c r="E157" s="157" t="s">
        <v>351</v>
      </c>
      <c r="F157" s="153" t="s">
        <v>218</v>
      </c>
      <c r="G157" s="153" t="s">
        <v>219</v>
      </c>
      <c r="H157" s="155" t="s">
        <v>267</v>
      </c>
      <c r="I157" s="156">
        <v>0</v>
      </c>
      <c r="J157" s="153" t="s">
        <v>221</v>
      </c>
      <c r="K157" s="153" t="s">
        <v>34</v>
      </c>
      <c r="L157" s="153" t="s">
        <v>23</v>
      </c>
      <c r="M157" s="153">
        <v>1</v>
      </c>
      <c r="N157" s="153" t="s">
        <v>34</v>
      </c>
      <c r="O157" s="153" t="s">
        <v>25</v>
      </c>
      <c r="P157" s="149">
        <f t="shared" si="2"/>
        <v>0</v>
      </c>
      <c r="Q157" s="157" t="s">
        <v>352</v>
      </c>
      <c r="R157" s="155" t="s">
        <v>223</v>
      </c>
      <c r="S157" s="158" t="s">
        <v>224</v>
      </c>
    </row>
    <row r="158" spans="2:19" ht="120" customHeight="1" x14ac:dyDescent="0.35">
      <c r="B158" s="152" t="s">
        <v>16</v>
      </c>
      <c r="C158" s="153" t="s">
        <v>16</v>
      </c>
      <c r="D158" s="154">
        <v>608649261817</v>
      </c>
      <c r="E158" s="157" t="s">
        <v>353</v>
      </c>
      <c r="F158" s="153" t="s">
        <v>218</v>
      </c>
      <c r="G158" s="153" t="s">
        <v>219</v>
      </c>
      <c r="H158" s="155" t="s">
        <v>220</v>
      </c>
      <c r="I158" s="156">
        <v>0</v>
      </c>
      <c r="J158" s="153" t="s">
        <v>221</v>
      </c>
      <c r="K158" s="153" t="s">
        <v>34</v>
      </c>
      <c r="L158" s="153" t="s">
        <v>23</v>
      </c>
      <c r="M158" s="153">
        <v>1</v>
      </c>
      <c r="N158" s="153" t="s">
        <v>34</v>
      </c>
      <c r="O158" s="153" t="s">
        <v>25</v>
      </c>
      <c r="P158" s="149">
        <f t="shared" si="2"/>
        <v>0</v>
      </c>
      <c r="Q158" s="157" t="s">
        <v>354</v>
      </c>
      <c r="R158" s="155" t="s">
        <v>223</v>
      </c>
      <c r="S158" s="158" t="s">
        <v>224</v>
      </c>
    </row>
    <row r="159" spans="2:19" ht="120" customHeight="1" x14ac:dyDescent="0.35">
      <c r="B159" s="152" t="s">
        <v>16</v>
      </c>
      <c r="C159" s="153" t="s">
        <v>16</v>
      </c>
      <c r="D159" s="154">
        <v>608649261817</v>
      </c>
      <c r="E159" s="157" t="s">
        <v>355</v>
      </c>
      <c r="F159" s="153" t="s">
        <v>218</v>
      </c>
      <c r="G159" s="153" t="s">
        <v>219</v>
      </c>
      <c r="H159" s="155" t="s">
        <v>220</v>
      </c>
      <c r="I159" s="156">
        <v>0</v>
      </c>
      <c r="J159" s="153" t="s">
        <v>221</v>
      </c>
      <c r="K159" s="153" t="s">
        <v>34</v>
      </c>
      <c r="L159" s="153" t="s">
        <v>23</v>
      </c>
      <c r="M159" s="153">
        <v>1</v>
      </c>
      <c r="N159" s="153" t="s">
        <v>34</v>
      </c>
      <c r="O159" s="153" t="s">
        <v>25</v>
      </c>
      <c r="P159" s="149">
        <f t="shared" si="2"/>
        <v>0</v>
      </c>
      <c r="Q159" s="157" t="s">
        <v>356</v>
      </c>
      <c r="R159" s="155" t="s">
        <v>223</v>
      </c>
      <c r="S159" s="158" t="s">
        <v>224</v>
      </c>
    </row>
    <row r="160" spans="2:19" ht="120" customHeight="1" x14ac:dyDescent="0.35">
      <c r="B160" s="152" t="s">
        <v>16</v>
      </c>
      <c r="C160" s="153" t="s">
        <v>16</v>
      </c>
      <c r="D160" s="154">
        <v>608649261817</v>
      </c>
      <c r="E160" s="157" t="s">
        <v>357</v>
      </c>
      <c r="F160" s="153" t="s">
        <v>218</v>
      </c>
      <c r="G160" s="153" t="s">
        <v>219</v>
      </c>
      <c r="H160" s="155" t="s">
        <v>220</v>
      </c>
      <c r="I160" s="156">
        <v>0</v>
      </c>
      <c r="J160" s="153" t="s">
        <v>221</v>
      </c>
      <c r="K160" s="153" t="s">
        <v>34</v>
      </c>
      <c r="L160" s="153" t="s">
        <v>23</v>
      </c>
      <c r="M160" s="153">
        <v>1</v>
      </c>
      <c r="N160" s="153" t="s">
        <v>34</v>
      </c>
      <c r="O160" s="153" t="s">
        <v>25</v>
      </c>
      <c r="P160" s="149">
        <f t="shared" si="2"/>
        <v>0</v>
      </c>
      <c r="Q160" s="157" t="s">
        <v>358</v>
      </c>
      <c r="R160" s="155" t="s">
        <v>223</v>
      </c>
      <c r="S160" s="158" t="s">
        <v>224</v>
      </c>
    </row>
    <row r="161" spans="2:19" ht="120" customHeight="1" x14ac:dyDescent="0.35">
      <c r="B161" s="152" t="s">
        <v>16</v>
      </c>
      <c r="C161" s="153" t="s">
        <v>16</v>
      </c>
      <c r="D161" s="154">
        <v>608649261817</v>
      </c>
      <c r="E161" s="157" t="s">
        <v>359</v>
      </c>
      <c r="F161" s="153" t="s">
        <v>218</v>
      </c>
      <c r="G161" s="153" t="s">
        <v>219</v>
      </c>
      <c r="H161" s="155" t="s">
        <v>220</v>
      </c>
      <c r="I161" s="156">
        <v>0</v>
      </c>
      <c r="J161" s="153" t="s">
        <v>221</v>
      </c>
      <c r="K161" s="153" t="s">
        <v>34</v>
      </c>
      <c r="L161" s="153" t="s">
        <v>23</v>
      </c>
      <c r="M161" s="153">
        <v>1</v>
      </c>
      <c r="N161" s="153" t="s">
        <v>34</v>
      </c>
      <c r="O161" s="153" t="s">
        <v>25</v>
      </c>
      <c r="P161" s="149">
        <f t="shared" si="2"/>
        <v>0</v>
      </c>
      <c r="Q161" s="157" t="s">
        <v>360</v>
      </c>
      <c r="R161" s="155" t="s">
        <v>223</v>
      </c>
      <c r="S161" s="158" t="s">
        <v>224</v>
      </c>
    </row>
    <row r="162" spans="2:19" ht="120" customHeight="1" x14ac:dyDescent="0.35">
      <c r="B162" s="152" t="s">
        <v>16</v>
      </c>
      <c r="C162" s="153" t="s">
        <v>16</v>
      </c>
      <c r="D162" s="154">
        <v>608649261817</v>
      </c>
      <c r="E162" s="157" t="s">
        <v>361</v>
      </c>
      <c r="F162" s="153" t="s">
        <v>218</v>
      </c>
      <c r="G162" s="153" t="s">
        <v>219</v>
      </c>
      <c r="H162" s="155" t="s">
        <v>220</v>
      </c>
      <c r="I162" s="156">
        <v>0</v>
      </c>
      <c r="J162" s="153" t="s">
        <v>221</v>
      </c>
      <c r="K162" s="153" t="s">
        <v>34</v>
      </c>
      <c r="L162" s="153" t="s">
        <v>23</v>
      </c>
      <c r="M162" s="153">
        <v>1</v>
      </c>
      <c r="N162" s="153" t="s">
        <v>34</v>
      </c>
      <c r="O162" s="153" t="s">
        <v>25</v>
      </c>
      <c r="P162" s="149">
        <f t="shared" si="2"/>
        <v>0</v>
      </c>
      <c r="Q162" s="157" t="s">
        <v>362</v>
      </c>
      <c r="R162" s="155" t="s">
        <v>223</v>
      </c>
      <c r="S162" s="158" t="s">
        <v>224</v>
      </c>
    </row>
    <row r="163" spans="2:19" ht="120" customHeight="1" x14ac:dyDescent="0.35">
      <c r="B163" s="152" t="s">
        <v>16</v>
      </c>
      <c r="C163" s="153" t="s">
        <v>16</v>
      </c>
      <c r="D163" s="154">
        <v>608649261817</v>
      </c>
      <c r="E163" s="157" t="s">
        <v>363</v>
      </c>
      <c r="F163" s="153" t="s">
        <v>218</v>
      </c>
      <c r="G163" s="153" t="s">
        <v>219</v>
      </c>
      <c r="H163" s="155" t="s">
        <v>220</v>
      </c>
      <c r="I163" s="156">
        <v>0</v>
      </c>
      <c r="J163" s="153" t="s">
        <v>221</v>
      </c>
      <c r="K163" s="153" t="s">
        <v>34</v>
      </c>
      <c r="L163" s="153" t="s">
        <v>23</v>
      </c>
      <c r="M163" s="153">
        <v>1</v>
      </c>
      <c r="N163" s="153" t="s">
        <v>34</v>
      </c>
      <c r="O163" s="153" t="s">
        <v>25</v>
      </c>
      <c r="P163" s="149">
        <f t="shared" si="2"/>
        <v>0</v>
      </c>
      <c r="Q163" s="157" t="s">
        <v>364</v>
      </c>
      <c r="R163" s="155" t="s">
        <v>223</v>
      </c>
      <c r="S163" s="158" t="s">
        <v>224</v>
      </c>
    </row>
    <row r="164" spans="2:19" ht="120" customHeight="1" x14ac:dyDescent="0.35">
      <c r="B164" s="152" t="s">
        <v>16</v>
      </c>
      <c r="C164" s="153" t="s">
        <v>16</v>
      </c>
      <c r="D164" s="154">
        <v>608649261817</v>
      </c>
      <c r="E164" s="157" t="s">
        <v>365</v>
      </c>
      <c r="F164" s="153" t="s">
        <v>218</v>
      </c>
      <c r="G164" s="153" t="s">
        <v>219</v>
      </c>
      <c r="H164" s="155" t="s">
        <v>220</v>
      </c>
      <c r="I164" s="156">
        <v>0</v>
      </c>
      <c r="J164" s="153" t="s">
        <v>221</v>
      </c>
      <c r="K164" s="153" t="s">
        <v>34</v>
      </c>
      <c r="L164" s="153" t="s">
        <v>23</v>
      </c>
      <c r="M164" s="153">
        <v>1</v>
      </c>
      <c r="N164" s="153" t="s">
        <v>34</v>
      </c>
      <c r="O164" s="153" t="s">
        <v>25</v>
      </c>
      <c r="P164" s="149">
        <f t="shared" si="2"/>
        <v>0</v>
      </c>
      <c r="Q164" s="157" t="s">
        <v>366</v>
      </c>
      <c r="R164" s="155" t="s">
        <v>223</v>
      </c>
      <c r="S164" s="158" t="s">
        <v>224</v>
      </c>
    </row>
    <row r="165" spans="2:19" ht="120" customHeight="1" x14ac:dyDescent="0.35">
      <c r="B165" s="152" t="s">
        <v>16</v>
      </c>
      <c r="C165" s="153" t="s">
        <v>16</v>
      </c>
      <c r="D165" s="154">
        <v>608649261817</v>
      </c>
      <c r="E165" s="157" t="s">
        <v>367</v>
      </c>
      <c r="F165" s="153" t="s">
        <v>218</v>
      </c>
      <c r="G165" s="153" t="s">
        <v>219</v>
      </c>
      <c r="H165" s="155" t="s">
        <v>220</v>
      </c>
      <c r="I165" s="156">
        <v>0</v>
      </c>
      <c r="J165" s="153" t="s">
        <v>221</v>
      </c>
      <c r="K165" s="153" t="s">
        <v>34</v>
      </c>
      <c r="L165" s="153" t="s">
        <v>23</v>
      </c>
      <c r="M165" s="153">
        <v>1</v>
      </c>
      <c r="N165" s="153" t="s">
        <v>34</v>
      </c>
      <c r="O165" s="153" t="s">
        <v>25</v>
      </c>
      <c r="P165" s="149">
        <f t="shared" si="2"/>
        <v>0</v>
      </c>
      <c r="Q165" s="157" t="s">
        <v>368</v>
      </c>
      <c r="R165" s="155" t="s">
        <v>223</v>
      </c>
      <c r="S165" s="158" t="s">
        <v>224</v>
      </c>
    </row>
    <row r="166" spans="2:19" ht="120" customHeight="1" x14ac:dyDescent="0.35">
      <c r="B166" s="152" t="s">
        <v>16</v>
      </c>
      <c r="C166" s="153" t="s">
        <v>16</v>
      </c>
      <c r="D166" s="154">
        <v>608649261817</v>
      </c>
      <c r="E166" s="157" t="s">
        <v>369</v>
      </c>
      <c r="F166" s="153" t="s">
        <v>218</v>
      </c>
      <c r="G166" s="153" t="s">
        <v>219</v>
      </c>
      <c r="H166" s="155" t="s">
        <v>220</v>
      </c>
      <c r="I166" s="156">
        <v>0</v>
      </c>
      <c r="J166" s="153" t="s">
        <v>221</v>
      </c>
      <c r="K166" s="153" t="s">
        <v>34</v>
      </c>
      <c r="L166" s="153" t="s">
        <v>23</v>
      </c>
      <c r="M166" s="153">
        <v>1</v>
      </c>
      <c r="N166" s="153" t="s">
        <v>34</v>
      </c>
      <c r="O166" s="153" t="s">
        <v>25</v>
      </c>
      <c r="P166" s="149">
        <f t="shared" si="2"/>
        <v>0</v>
      </c>
      <c r="Q166" s="157" t="s">
        <v>370</v>
      </c>
      <c r="R166" s="155" t="s">
        <v>223</v>
      </c>
      <c r="S166" s="158" t="s">
        <v>224</v>
      </c>
    </row>
    <row r="167" spans="2:19" ht="120" customHeight="1" x14ac:dyDescent="0.35">
      <c r="B167" s="152" t="s">
        <v>16</v>
      </c>
      <c r="C167" s="153" t="s">
        <v>16</v>
      </c>
      <c r="D167" s="154">
        <v>608649261817</v>
      </c>
      <c r="E167" s="157" t="s">
        <v>371</v>
      </c>
      <c r="F167" s="153" t="s">
        <v>218</v>
      </c>
      <c r="G167" s="153" t="s">
        <v>219</v>
      </c>
      <c r="H167" s="155" t="s">
        <v>220</v>
      </c>
      <c r="I167" s="156">
        <v>0</v>
      </c>
      <c r="J167" s="153" t="s">
        <v>221</v>
      </c>
      <c r="K167" s="153" t="s">
        <v>34</v>
      </c>
      <c r="L167" s="153" t="s">
        <v>23</v>
      </c>
      <c r="M167" s="153">
        <v>1</v>
      </c>
      <c r="N167" s="153" t="s">
        <v>34</v>
      </c>
      <c r="O167" s="153" t="s">
        <v>25</v>
      </c>
      <c r="P167" s="149">
        <f t="shared" si="2"/>
        <v>0</v>
      </c>
      <c r="Q167" s="157" t="s">
        <v>372</v>
      </c>
      <c r="R167" s="155" t="s">
        <v>223</v>
      </c>
      <c r="S167" s="158" t="s">
        <v>224</v>
      </c>
    </row>
    <row r="168" spans="2:19" ht="120" customHeight="1" x14ac:dyDescent="0.35">
      <c r="B168" s="152" t="s">
        <v>16</v>
      </c>
      <c r="C168" s="153" t="s">
        <v>16</v>
      </c>
      <c r="D168" s="154">
        <v>608649261817</v>
      </c>
      <c r="E168" s="157" t="s">
        <v>373</v>
      </c>
      <c r="F168" s="153" t="s">
        <v>218</v>
      </c>
      <c r="G168" s="153" t="s">
        <v>219</v>
      </c>
      <c r="H168" s="155" t="s">
        <v>220</v>
      </c>
      <c r="I168" s="156">
        <v>0</v>
      </c>
      <c r="J168" s="153" t="s">
        <v>221</v>
      </c>
      <c r="K168" s="153" t="s">
        <v>34</v>
      </c>
      <c r="L168" s="153" t="s">
        <v>23</v>
      </c>
      <c r="M168" s="153">
        <v>1</v>
      </c>
      <c r="N168" s="153" t="s">
        <v>34</v>
      </c>
      <c r="O168" s="153" t="s">
        <v>25</v>
      </c>
      <c r="P168" s="149">
        <f t="shared" si="2"/>
        <v>0</v>
      </c>
      <c r="Q168" s="157" t="s">
        <v>374</v>
      </c>
      <c r="R168" s="155" t="s">
        <v>223</v>
      </c>
      <c r="S168" s="158" t="s">
        <v>224</v>
      </c>
    </row>
    <row r="169" spans="2:19" ht="120" customHeight="1" x14ac:dyDescent="0.35">
      <c r="B169" s="152" t="s">
        <v>16</v>
      </c>
      <c r="C169" s="153" t="s">
        <v>16</v>
      </c>
      <c r="D169" s="154">
        <v>608649261817</v>
      </c>
      <c r="E169" s="157" t="s">
        <v>375</v>
      </c>
      <c r="F169" s="153" t="s">
        <v>218</v>
      </c>
      <c r="G169" s="153" t="s">
        <v>219</v>
      </c>
      <c r="H169" s="155" t="s">
        <v>220</v>
      </c>
      <c r="I169" s="156">
        <v>0</v>
      </c>
      <c r="J169" s="153" t="s">
        <v>221</v>
      </c>
      <c r="K169" s="153" t="s">
        <v>34</v>
      </c>
      <c r="L169" s="153" t="s">
        <v>23</v>
      </c>
      <c r="M169" s="153">
        <v>1</v>
      </c>
      <c r="N169" s="153" t="s">
        <v>34</v>
      </c>
      <c r="O169" s="153" t="s">
        <v>25</v>
      </c>
      <c r="P169" s="149">
        <f t="shared" si="2"/>
        <v>0</v>
      </c>
      <c r="Q169" s="157" t="s">
        <v>376</v>
      </c>
      <c r="R169" s="155" t="s">
        <v>223</v>
      </c>
      <c r="S169" s="158" t="s">
        <v>224</v>
      </c>
    </row>
    <row r="170" spans="2:19" ht="120" customHeight="1" x14ac:dyDescent="0.35">
      <c r="B170" s="152" t="s">
        <v>16</v>
      </c>
      <c r="C170" s="153" t="s">
        <v>16</v>
      </c>
      <c r="D170" s="154">
        <v>608649261817</v>
      </c>
      <c r="E170" s="157" t="s">
        <v>377</v>
      </c>
      <c r="F170" s="153" t="s">
        <v>218</v>
      </c>
      <c r="G170" s="153" t="s">
        <v>219</v>
      </c>
      <c r="H170" s="155" t="s">
        <v>220</v>
      </c>
      <c r="I170" s="156">
        <v>0</v>
      </c>
      <c r="J170" s="153" t="s">
        <v>221</v>
      </c>
      <c r="K170" s="153" t="s">
        <v>34</v>
      </c>
      <c r="L170" s="153" t="s">
        <v>23</v>
      </c>
      <c r="M170" s="153">
        <v>1</v>
      </c>
      <c r="N170" s="153" t="s">
        <v>34</v>
      </c>
      <c r="O170" s="153" t="s">
        <v>25</v>
      </c>
      <c r="P170" s="149">
        <f t="shared" si="2"/>
        <v>0</v>
      </c>
      <c r="Q170" s="157" t="s">
        <v>378</v>
      </c>
      <c r="R170" s="155" t="s">
        <v>223</v>
      </c>
      <c r="S170" s="158" t="s">
        <v>224</v>
      </c>
    </row>
    <row r="171" spans="2:19" ht="120" customHeight="1" x14ac:dyDescent="0.35">
      <c r="B171" s="152" t="s">
        <v>16</v>
      </c>
      <c r="C171" s="153" t="s">
        <v>16</v>
      </c>
      <c r="D171" s="154">
        <v>608649261817</v>
      </c>
      <c r="E171" s="157" t="s">
        <v>379</v>
      </c>
      <c r="F171" s="153" t="s">
        <v>218</v>
      </c>
      <c r="G171" s="153" t="s">
        <v>219</v>
      </c>
      <c r="H171" s="155" t="s">
        <v>220</v>
      </c>
      <c r="I171" s="156">
        <v>0</v>
      </c>
      <c r="J171" s="153" t="s">
        <v>221</v>
      </c>
      <c r="K171" s="153" t="s">
        <v>34</v>
      </c>
      <c r="L171" s="153" t="s">
        <v>23</v>
      </c>
      <c r="M171" s="153">
        <v>1</v>
      </c>
      <c r="N171" s="153" t="s">
        <v>34</v>
      </c>
      <c r="O171" s="153" t="s">
        <v>25</v>
      </c>
      <c r="P171" s="149">
        <f t="shared" si="2"/>
        <v>0</v>
      </c>
      <c r="Q171" s="157" t="s">
        <v>380</v>
      </c>
      <c r="R171" s="155" t="s">
        <v>223</v>
      </c>
      <c r="S171" s="158" t="s">
        <v>224</v>
      </c>
    </row>
    <row r="172" spans="2:19" ht="120" customHeight="1" x14ac:dyDescent="0.35">
      <c r="B172" s="152" t="s">
        <v>16</v>
      </c>
      <c r="C172" s="153" t="s">
        <v>16</v>
      </c>
      <c r="D172" s="154">
        <v>608649261817</v>
      </c>
      <c r="E172" s="157" t="s">
        <v>381</v>
      </c>
      <c r="F172" s="153" t="s">
        <v>218</v>
      </c>
      <c r="G172" s="153" t="s">
        <v>219</v>
      </c>
      <c r="H172" s="155" t="s">
        <v>220</v>
      </c>
      <c r="I172" s="156">
        <v>0</v>
      </c>
      <c r="J172" s="153" t="s">
        <v>221</v>
      </c>
      <c r="K172" s="153" t="s">
        <v>34</v>
      </c>
      <c r="L172" s="153" t="s">
        <v>23</v>
      </c>
      <c r="M172" s="153">
        <v>1</v>
      </c>
      <c r="N172" s="153" t="s">
        <v>34</v>
      </c>
      <c r="O172" s="153" t="s">
        <v>25</v>
      </c>
      <c r="P172" s="149">
        <f t="shared" si="2"/>
        <v>0</v>
      </c>
      <c r="Q172" s="157" t="s">
        <v>382</v>
      </c>
      <c r="R172" s="155" t="s">
        <v>223</v>
      </c>
      <c r="S172" s="158" t="s">
        <v>224</v>
      </c>
    </row>
    <row r="173" spans="2:19" ht="120" customHeight="1" x14ac:dyDescent="0.35">
      <c r="B173" s="152" t="s">
        <v>16</v>
      </c>
      <c r="C173" s="153" t="s">
        <v>16</v>
      </c>
      <c r="D173" s="154">
        <v>608649261817</v>
      </c>
      <c r="E173" s="157" t="s">
        <v>383</v>
      </c>
      <c r="F173" s="153" t="s">
        <v>218</v>
      </c>
      <c r="G173" s="153" t="s">
        <v>219</v>
      </c>
      <c r="H173" s="155" t="s">
        <v>220</v>
      </c>
      <c r="I173" s="156">
        <v>0</v>
      </c>
      <c r="J173" s="153" t="s">
        <v>221</v>
      </c>
      <c r="K173" s="153" t="s">
        <v>34</v>
      </c>
      <c r="L173" s="153" t="s">
        <v>23</v>
      </c>
      <c r="M173" s="153">
        <v>1</v>
      </c>
      <c r="N173" s="153" t="s">
        <v>34</v>
      </c>
      <c r="O173" s="153" t="s">
        <v>25</v>
      </c>
      <c r="P173" s="149">
        <f t="shared" si="2"/>
        <v>0</v>
      </c>
      <c r="Q173" s="157" t="s">
        <v>384</v>
      </c>
      <c r="R173" s="155" t="s">
        <v>223</v>
      </c>
      <c r="S173" s="158" t="s">
        <v>224</v>
      </c>
    </row>
    <row r="174" spans="2:19" ht="120" customHeight="1" x14ac:dyDescent="0.35">
      <c r="B174" s="152" t="s">
        <v>16</v>
      </c>
      <c r="C174" s="153" t="s">
        <v>16</v>
      </c>
      <c r="D174" s="154">
        <v>628002692261</v>
      </c>
      <c r="E174" s="157" t="s">
        <v>385</v>
      </c>
      <c r="F174" s="153" t="s">
        <v>218</v>
      </c>
      <c r="G174" s="153" t="s">
        <v>219</v>
      </c>
      <c r="H174" s="155" t="s">
        <v>220</v>
      </c>
      <c r="I174" s="156">
        <v>0</v>
      </c>
      <c r="J174" s="153" t="s">
        <v>221</v>
      </c>
      <c r="K174" s="153" t="s">
        <v>34</v>
      </c>
      <c r="L174" s="153" t="s">
        <v>23</v>
      </c>
      <c r="M174" s="153">
        <v>1</v>
      </c>
      <c r="N174" s="153" t="s">
        <v>34</v>
      </c>
      <c r="O174" s="153" t="s">
        <v>25</v>
      </c>
      <c r="P174" s="149">
        <f t="shared" si="2"/>
        <v>0</v>
      </c>
      <c r="Q174" s="157" t="s">
        <v>386</v>
      </c>
      <c r="R174" s="155" t="s">
        <v>223</v>
      </c>
      <c r="S174" s="158" t="s">
        <v>224</v>
      </c>
    </row>
    <row r="175" spans="2:19" ht="120" customHeight="1" x14ac:dyDescent="0.35">
      <c r="B175" s="152" t="s">
        <v>16</v>
      </c>
      <c r="C175" s="153" t="s">
        <v>16</v>
      </c>
      <c r="D175" s="154">
        <v>628002692261</v>
      </c>
      <c r="E175" s="157" t="s">
        <v>387</v>
      </c>
      <c r="F175" s="153" t="s">
        <v>218</v>
      </c>
      <c r="G175" s="153" t="s">
        <v>219</v>
      </c>
      <c r="H175" s="155" t="s">
        <v>220</v>
      </c>
      <c r="I175" s="156">
        <v>0</v>
      </c>
      <c r="J175" s="153" t="s">
        <v>221</v>
      </c>
      <c r="K175" s="153" t="s">
        <v>34</v>
      </c>
      <c r="L175" s="153" t="s">
        <v>23</v>
      </c>
      <c r="M175" s="153">
        <v>1</v>
      </c>
      <c r="N175" s="153" t="s">
        <v>34</v>
      </c>
      <c r="O175" s="153" t="s">
        <v>25</v>
      </c>
      <c r="P175" s="149">
        <f t="shared" si="2"/>
        <v>0</v>
      </c>
      <c r="Q175" s="157" t="s">
        <v>388</v>
      </c>
      <c r="R175" s="155" t="s">
        <v>223</v>
      </c>
      <c r="S175" s="158" t="s">
        <v>224</v>
      </c>
    </row>
    <row r="176" spans="2:19" ht="120" customHeight="1" x14ac:dyDescent="0.35">
      <c r="B176" s="152" t="s">
        <v>16</v>
      </c>
      <c r="C176" s="153" t="s">
        <v>16</v>
      </c>
      <c r="D176" s="154">
        <v>628002692261</v>
      </c>
      <c r="E176" s="157" t="s">
        <v>389</v>
      </c>
      <c r="F176" s="153" t="s">
        <v>218</v>
      </c>
      <c r="G176" s="153" t="s">
        <v>219</v>
      </c>
      <c r="H176" s="155" t="s">
        <v>220</v>
      </c>
      <c r="I176" s="156">
        <v>0</v>
      </c>
      <c r="J176" s="153" t="s">
        <v>221</v>
      </c>
      <c r="K176" s="153" t="s">
        <v>34</v>
      </c>
      <c r="L176" s="153" t="s">
        <v>23</v>
      </c>
      <c r="M176" s="153">
        <v>1</v>
      </c>
      <c r="N176" s="153" t="s">
        <v>34</v>
      </c>
      <c r="O176" s="153" t="s">
        <v>25</v>
      </c>
      <c r="P176" s="149">
        <f t="shared" si="2"/>
        <v>0</v>
      </c>
      <c r="Q176" s="157" t="s">
        <v>390</v>
      </c>
      <c r="R176" s="155" t="s">
        <v>223</v>
      </c>
      <c r="S176" s="158" t="s">
        <v>224</v>
      </c>
    </row>
    <row r="177" spans="2:19" ht="120" customHeight="1" x14ac:dyDescent="0.35">
      <c r="B177" s="152" t="s">
        <v>16</v>
      </c>
      <c r="C177" s="153" t="s">
        <v>16</v>
      </c>
      <c r="D177" s="154">
        <v>779846800024</v>
      </c>
      <c r="E177" s="157" t="s">
        <v>391</v>
      </c>
      <c r="F177" s="153" t="s">
        <v>218</v>
      </c>
      <c r="G177" s="153" t="s">
        <v>219</v>
      </c>
      <c r="H177" s="155" t="s">
        <v>220</v>
      </c>
      <c r="I177" s="156">
        <v>0</v>
      </c>
      <c r="J177" s="153" t="s">
        <v>221</v>
      </c>
      <c r="K177" s="153" t="s">
        <v>34</v>
      </c>
      <c r="L177" s="153" t="s">
        <v>23</v>
      </c>
      <c r="M177" s="153">
        <v>1</v>
      </c>
      <c r="N177" s="153" t="s">
        <v>34</v>
      </c>
      <c r="O177" s="153" t="s">
        <v>25</v>
      </c>
      <c r="P177" s="149">
        <f t="shared" si="2"/>
        <v>0</v>
      </c>
      <c r="Q177" s="157" t="s">
        <v>392</v>
      </c>
      <c r="R177" s="155" t="s">
        <v>223</v>
      </c>
      <c r="S177" s="158" t="s">
        <v>224</v>
      </c>
    </row>
    <row r="178" spans="2:19" ht="120" customHeight="1" x14ac:dyDescent="0.35">
      <c r="B178" s="152" t="s">
        <v>16</v>
      </c>
      <c r="C178" s="153" t="s">
        <v>16</v>
      </c>
      <c r="D178" s="154">
        <v>779846800024</v>
      </c>
      <c r="E178" s="157" t="s">
        <v>393</v>
      </c>
      <c r="F178" s="153" t="s">
        <v>218</v>
      </c>
      <c r="G178" s="153" t="s">
        <v>219</v>
      </c>
      <c r="H178" s="155" t="s">
        <v>220</v>
      </c>
      <c r="I178" s="156">
        <v>0</v>
      </c>
      <c r="J178" s="153" t="s">
        <v>221</v>
      </c>
      <c r="K178" s="153" t="s">
        <v>34</v>
      </c>
      <c r="L178" s="153" t="s">
        <v>23</v>
      </c>
      <c r="M178" s="153">
        <v>1</v>
      </c>
      <c r="N178" s="153" t="s">
        <v>34</v>
      </c>
      <c r="O178" s="153" t="s">
        <v>25</v>
      </c>
      <c r="P178" s="149">
        <f t="shared" si="2"/>
        <v>0</v>
      </c>
      <c r="Q178" s="157" t="s">
        <v>394</v>
      </c>
      <c r="R178" s="155" t="s">
        <v>223</v>
      </c>
      <c r="S178" s="158" t="s">
        <v>224</v>
      </c>
    </row>
    <row r="179" spans="2:19" ht="120" customHeight="1" x14ac:dyDescent="0.35">
      <c r="B179" s="152" t="s">
        <v>16</v>
      </c>
      <c r="C179" s="153" t="s">
        <v>16</v>
      </c>
      <c r="D179" s="154">
        <v>779846800024</v>
      </c>
      <c r="E179" s="157" t="s">
        <v>395</v>
      </c>
      <c r="F179" s="153" t="s">
        <v>218</v>
      </c>
      <c r="G179" s="153" t="s">
        <v>219</v>
      </c>
      <c r="H179" s="155" t="s">
        <v>220</v>
      </c>
      <c r="I179" s="156">
        <v>0</v>
      </c>
      <c r="J179" s="153" t="s">
        <v>221</v>
      </c>
      <c r="K179" s="153" t="s">
        <v>34</v>
      </c>
      <c r="L179" s="153" t="s">
        <v>23</v>
      </c>
      <c r="M179" s="153">
        <v>1</v>
      </c>
      <c r="N179" s="153" t="s">
        <v>34</v>
      </c>
      <c r="O179" s="153" t="s">
        <v>25</v>
      </c>
      <c r="P179" s="149">
        <f t="shared" si="2"/>
        <v>0</v>
      </c>
      <c r="Q179" s="157" t="s">
        <v>396</v>
      </c>
      <c r="R179" s="155" t="s">
        <v>223</v>
      </c>
      <c r="S179" s="158" t="s">
        <v>224</v>
      </c>
    </row>
    <row r="180" spans="2:19" ht="120" customHeight="1" x14ac:dyDescent="0.35">
      <c r="B180" s="152" t="s">
        <v>16</v>
      </c>
      <c r="C180" s="153" t="s">
        <v>16</v>
      </c>
      <c r="D180" s="154">
        <v>779846800024</v>
      </c>
      <c r="E180" s="157" t="s">
        <v>397</v>
      </c>
      <c r="F180" s="153" t="s">
        <v>218</v>
      </c>
      <c r="G180" s="153" t="s">
        <v>219</v>
      </c>
      <c r="H180" s="155" t="s">
        <v>220</v>
      </c>
      <c r="I180" s="156">
        <v>0</v>
      </c>
      <c r="J180" s="153" t="s">
        <v>221</v>
      </c>
      <c r="K180" s="153" t="s">
        <v>34</v>
      </c>
      <c r="L180" s="153" t="s">
        <v>23</v>
      </c>
      <c r="M180" s="153">
        <v>1</v>
      </c>
      <c r="N180" s="153" t="s">
        <v>34</v>
      </c>
      <c r="O180" s="153" t="s">
        <v>25</v>
      </c>
      <c r="P180" s="149">
        <f t="shared" si="2"/>
        <v>0</v>
      </c>
      <c r="Q180" s="157" t="s">
        <v>398</v>
      </c>
      <c r="R180" s="155" t="s">
        <v>223</v>
      </c>
      <c r="S180" s="158" t="s">
        <v>224</v>
      </c>
    </row>
    <row r="181" spans="2:19" ht="120" customHeight="1" thickBot="1" x14ac:dyDescent="0.4">
      <c r="B181" s="159" t="s">
        <v>16</v>
      </c>
      <c r="C181" s="160" t="s">
        <v>16</v>
      </c>
      <c r="D181" s="161">
        <v>779846800024</v>
      </c>
      <c r="E181" s="164" t="s">
        <v>399</v>
      </c>
      <c r="F181" s="160" t="s">
        <v>218</v>
      </c>
      <c r="G181" s="160" t="s">
        <v>219</v>
      </c>
      <c r="H181" s="162" t="s">
        <v>220</v>
      </c>
      <c r="I181" s="163">
        <v>0</v>
      </c>
      <c r="J181" s="160" t="s">
        <v>221</v>
      </c>
      <c r="K181" s="160" t="s">
        <v>34</v>
      </c>
      <c r="L181" s="160" t="s">
        <v>23</v>
      </c>
      <c r="M181" s="160">
        <v>1</v>
      </c>
      <c r="N181" s="160" t="s">
        <v>34</v>
      </c>
      <c r="O181" s="160" t="s">
        <v>25</v>
      </c>
      <c r="P181" s="149">
        <f t="shared" si="2"/>
        <v>0</v>
      </c>
      <c r="Q181" s="164" t="s">
        <v>400</v>
      </c>
      <c r="R181" s="162" t="s">
        <v>223</v>
      </c>
      <c r="S181" s="165" t="s">
        <v>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7"/>
  <sheetViews>
    <sheetView workbookViewId="0">
      <selection activeCell="F26" sqref="F26"/>
    </sheetView>
  </sheetViews>
  <sheetFormatPr defaultRowHeight="14.5" x14ac:dyDescent="0.35"/>
  <cols>
    <col min="1" max="1" width="8.7265625" style="30"/>
    <col min="2" max="2" width="43.26953125" customWidth="1"/>
    <col min="3" max="3" width="20.36328125" customWidth="1"/>
    <col min="4" max="24" width="8.7265625" style="30"/>
  </cols>
  <sheetData>
    <row r="1" spans="2:3" s="30" customFormat="1" ht="15" thickBot="1" x14ac:dyDescent="0.4"/>
    <row r="2" spans="2:3" ht="15" thickBot="1" x14ac:dyDescent="0.4">
      <c r="B2" s="55" t="s">
        <v>426</v>
      </c>
      <c r="C2" s="56" t="s">
        <v>425</v>
      </c>
    </row>
    <row r="3" spans="2:3" x14ac:dyDescent="0.35">
      <c r="B3" s="9" t="s">
        <v>401</v>
      </c>
      <c r="C3" s="11">
        <v>179</v>
      </c>
    </row>
    <row r="4" spans="2:3" x14ac:dyDescent="0.35">
      <c r="B4" s="4" t="s">
        <v>402</v>
      </c>
      <c r="C4" s="53">
        <v>1436.27</v>
      </c>
    </row>
    <row r="5" spans="2:3" x14ac:dyDescent="0.35">
      <c r="B5" s="4" t="s">
        <v>403</v>
      </c>
      <c r="C5" s="53">
        <v>17235.240000000002</v>
      </c>
    </row>
    <row r="6" spans="2:3" x14ac:dyDescent="0.35">
      <c r="B6" s="4" t="s">
        <v>404</v>
      </c>
      <c r="C6" s="5">
        <v>12</v>
      </c>
    </row>
    <row r="7" spans="2:3" x14ac:dyDescent="0.35">
      <c r="B7" s="4" t="s">
        <v>405</v>
      </c>
      <c r="C7" s="5">
        <v>2</v>
      </c>
    </row>
    <row r="8" spans="2:3" x14ac:dyDescent="0.35">
      <c r="B8" s="4" t="s">
        <v>406</v>
      </c>
      <c r="C8" s="5">
        <v>1</v>
      </c>
    </row>
    <row r="9" spans="2:3" x14ac:dyDescent="0.35">
      <c r="B9" s="4" t="s">
        <v>407</v>
      </c>
      <c r="C9" s="5">
        <v>11</v>
      </c>
    </row>
    <row r="10" spans="2:3" x14ac:dyDescent="0.35">
      <c r="B10" s="4" t="s">
        <v>408</v>
      </c>
      <c r="C10" s="52">
        <v>236</v>
      </c>
    </row>
    <row r="11" spans="2:3" ht="15" thickBot="1" x14ac:dyDescent="0.4">
      <c r="B11" s="6" t="s">
        <v>409</v>
      </c>
      <c r="C11" s="54">
        <v>8.02</v>
      </c>
    </row>
    <row r="12" spans="2:3" s="30" customFormat="1" x14ac:dyDescent="0.35"/>
    <row r="13" spans="2:3" s="30" customFormat="1" x14ac:dyDescent="0.35"/>
    <row r="14" spans="2:3" s="30" customFormat="1" x14ac:dyDescent="0.35"/>
    <row r="15" spans="2:3" s="30" customFormat="1" x14ac:dyDescent="0.35"/>
    <row r="16" spans="2:3" s="30" customFormat="1" x14ac:dyDescent="0.35"/>
    <row r="17" s="30" customFormat="1" x14ac:dyDescent="0.35"/>
    <row r="18" s="30" customFormat="1" x14ac:dyDescent="0.35"/>
    <row r="19" s="30" customFormat="1" x14ac:dyDescent="0.35"/>
    <row r="20" s="30" customFormat="1" x14ac:dyDescent="0.35"/>
    <row r="21" s="30" customFormat="1" x14ac:dyDescent="0.35"/>
    <row r="22" s="30" customFormat="1" x14ac:dyDescent="0.35"/>
    <row r="23" s="30" customFormat="1" x14ac:dyDescent="0.35"/>
    <row r="24" s="30" customFormat="1" x14ac:dyDescent="0.35"/>
    <row r="25" s="30" customFormat="1" x14ac:dyDescent="0.35"/>
    <row r="26" s="30" customFormat="1" x14ac:dyDescent="0.35"/>
    <row r="27" s="30" customFormat="1" x14ac:dyDescent="0.35"/>
    <row r="28" s="30" customFormat="1" x14ac:dyDescent="0.35"/>
    <row r="29" s="30" customFormat="1" x14ac:dyDescent="0.35"/>
    <row r="30" s="30" customFormat="1" x14ac:dyDescent="0.35"/>
    <row r="31" s="30" customFormat="1" x14ac:dyDescent="0.35"/>
    <row r="32" s="30" customFormat="1" x14ac:dyDescent="0.35"/>
    <row r="33" s="30" customFormat="1" x14ac:dyDescent="0.35"/>
    <row r="34" s="30" customFormat="1" x14ac:dyDescent="0.35"/>
    <row r="35" s="30" customFormat="1" x14ac:dyDescent="0.35"/>
    <row r="36" s="30" customFormat="1" x14ac:dyDescent="0.35"/>
    <row r="37" s="30" customFormat="1" x14ac:dyDescent="0.3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37"/>
  <sheetViews>
    <sheetView workbookViewId="0">
      <selection activeCell="F26" sqref="F26"/>
    </sheetView>
  </sheetViews>
  <sheetFormatPr defaultRowHeight="14.5" x14ac:dyDescent="0.35"/>
  <cols>
    <col min="2" max="2" width="35" bestFit="1" customWidth="1"/>
    <col min="3" max="3" width="25.36328125" customWidth="1"/>
    <col min="4" max="4" width="19.36328125" customWidth="1"/>
    <col min="5" max="5" width="18.81640625" customWidth="1"/>
    <col min="6" max="6" width="19.453125" customWidth="1"/>
    <col min="7" max="7" width="18.26953125" customWidth="1"/>
    <col min="8" max="8" width="8.7265625" style="30"/>
    <col min="9" max="9" width="10.81640625" style="30" bestFit="1" customWidth="1"/>
    <col min="10" max="21" width="8.7265625" style="30"/>
  </cols>
  <sheetData>
    <row r="1" spans="2:7" s="30" customFormat="1" x14ac:dyDescent="0.35"/>
    <row r="2" spans="2:7" s="30" customFormat="1" ht="15" thickBot="1" x14ac:dyDescent="0.4"/>
    <row r="3" spans="2:7" ht="15" thickBot="1" x14ac:dyDescent="0.4">
      <c r="B3" s="67" t="s">
        <v>424</v>
      </c>
      <c r="C3" s="68" t="s">
        <v>15</v>
      </c>
      <c r="D3" s="68" t="s">
        <v>410</v>
      </c>
      <c r="E3" s="69" t="s">
        <v>422</v>
      </c>
      <c r="F3" s="68" t="s">
        <v>421</v>
      </c>
      <c r="G3" s="70" t="s">
        <v>411</v>
      </c>
    </row>
    <row r="4" spans="2:7" x14ac:dyDescent="0.35">
      <c r="B4" s="63" t="s">
        <v>30</v>
      </c>
      <c r="C4" s="64" t="s">
        <v>37</v>
      </c>
      <c r="D4" s="64">
        <v>34</v>
      </c>
      <c r="E4" s="71">
        <v>357.24</v>
      </c>
      <c r="F4" s="71">
        <f>(E4*12)</f>
        <v>4286.88</v>
      </c>
      <c r="G4" s="65">
        <v>17</v>
      </c>
    </row>
    <row r="5" spans="2:7" x14ac:dyDescent="0.35">
      <c r="B5" s="58" t="s">
        <v>18</v>
      </c>
      <c r="C5" s="2" t="s">
        <v>28</v>
      </c>
      <c r="D5" s="2">
        <v>64</v>
      </c>
      <c r="E5" s="72">
        <v>1079.03</v>
      </c>
      <c r="F5" s="71">
        <f>(E5*12)</f>
        <v>12948.36</v>
      </c>
      <c r="G5" s="59">
        <v>138</v>
      </c>
    </row>
    <row r="6" spans="2:7" ht="15" thickBot="1" x14ac:dyDescent="0.4">
      <c r="B6" s="60" t="s">
        <v>218</v>
      </c>
      <c r="C6" s="61" t="s">
        <v>224</v>
      </c>
      <c r="D6" s="61">
        <v>81</v>
      </c>
      <c r="E6" s="73">
        <v>0</v>
      </c>
      <c r="F6" s="73">
        <v>0</v>
      </c>
      <c r="G6" s="62">
        <v>81</v>
      </c>
    </row>
    <row r="7" spans="2:7" s="30" customFormat="1" x14ac:dyDescent="0.35"/>
    <row r="8" spans="2:7" s="30" customFormat="1" x14ac:dyDescent="0.35"/>
    <row r="9" spans="2:7" s="30" customFormat="1" x14ac:dyDescent="0.35"/>
    <row r="10" spans="2:7" s="30" customFormat="1" x14ac:dyDescent="0.35"/>
    <row r="11" spans="2:7" s="30" customFormat="1" x14ac:dyDescent="0.35"/>
    <row r="12" spans="2:7" s="30" customFormat="1" x14ac:dyDescent="0.35"/>
    <row r="13" spans="2:7" s="30" customFormat="1" x14ac:dyDescent="0.35"/>
    <row r="14" spans="2:7" s="30" customFormat="1" x14ac:dyDescent="0.35"/>
    <row r="15" spans="2:7" s="30" customFormat="1" x14ac:dyDescent="0.35"/>
    <row r="16" spans="2:7" s="30" customFormat="1" x14ac:dyDescent="0.35"/>
    <row r="17" s="30" customFormat="1" x14ac:dyDescent="0.35"/>
    <row r="18" s="30" customFormat="1" x14ac:dyDescent="0.35"/>
    <row r="19" s="30" customFormat="1" x14ac:dyDescent="0.35"/>
    <row r="20" s="30" customFormat="1" x14ac:dyDescent="0.35"/>
    <row r="21" s="30" customFormat="1" x14ac:dyDescent="0.35"/>
    <row r="22" s="30" customFormat="1" x14ac:dyDescent="0.35"/>
    <row r="23" s="30" customFormat="1" x14ac:dyDescent="0.35"/>
    <row r="24" s="30" customFormat="1" x14ac:dyDescent="0.35"/>
    <row r="25" s="30" customFormat="1" x14ac:dyDescent="0.35"/>
    <row r="26" s="30" customFormat="1" x14ac:dyDescent="0.35"/>
    <row r="27" s="30" customFormat="1" x14ac:dyDescent="0.35"/>
    <row r="28" s="30" customFormat="1" x14ac:dyDescent="0.35"/>
    <row r="29" s="30" customFormat="1" x14ac:dyDescent="0.35"/>
    <row r="30" s="30" customFormat="1" x14ac:dyDescent="0.35"/>
    <row r="31" s="30" customFormat="1" x14ac:dyDescent="0.35"/>
    <row r="32" s="30" customFormat="1" x14ac:dyDescent="0.35"/>
    <row r="33" s="30" customFormat="1" x14ac:dyDescent="0.35"/>
    <row r="34" s="30" customFormat="1" x14ac:dyDescent="0.35"/>
    <row r="35" s="30" customFormat="1" x14ac:dyDescent="0.35"/>
    <row r="36" s="30" customFormat="1" x14ac:dyDescent="0.35"/>
    <row r="37" s="30" customFormat="1" x14ac:dyDescent="0.35"/>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8"/>
  <sheetViews>
    <sheetView workbookViewId="0">
      <selection activeCell="G32" sqref="G32"/>
    </sheetView>
  </sheetViews>
  <sheetFormatPr defaultRowHeight="14.5" x14ac:dyDescent="0.35"/>
  <cols>
    <col min="1" max="4" width="8.7265625" style="30"/>
    <col min="5" max="5" width="34.26953125" customWidth="1"/>
    <col min="6" max="6" width="17.1796875" customWidth="1"/>
    <col min="7" max="7" width="21.54296875" customWidth="1"/>
    <col min="8" max="8" width="22.08984375" customWidth="1"/>
    <col min="9" max="9" width="17.453125" customWidth="1"/>
    <col min="10" max="22" width="8.7265625" style="30"/>
  </cols>
  <sheetData>
    <row r="1" spans="5:9" s="30" customFormat="1" x14ac:dyDescent="0.35"/>
    <row r="2" spans="5:9" s="30" customFormat="1" x14ac:dyDescent="0.35"/>
    <row r="3" spans="5:9" s="30" customFormat="1" x14ac:dyDescent="0.35"/>
    <row r="4" spans="5:9" s="30" customFormat="1" x14ac:dyDescent="0.35"/>
    <row r="5" spans="5:9" s="30" customFormat="1" x14ac:dyDescent="0.35"/>
    <row r="6" spans="5:9" s="30" customFormat="1" x14ac:dyDescent="0.35"/>
    <row r="7" spans="5:9" s="30" customFormat="1" x14ac:dyDescent="0.35"/>
    <row r="8" spans="5:9" s="30" customFormat="1" ht="15" thickBot="1" x14ac:dyDescent="0.4"/>
    <row r="9" spans="5:9" x14ac:dyDescent="0.35">
      <c r="E9" s="78" t="s">
        <v>9</v>
      </c>
      <c r="F9" s="79" t="s">
        <v>410</v>
      </c>
      <c r="G9" s="79" t="s">
        <v>427</v>
      </c>
      <c r="H9" s="79" t="s">
        <v>428</v>
      </c>
      <c r="I9" s="80" t="s">
        <v>411</v>
      </c>
    </row>
    <row r="10" spans="5:9" x14ac:dyDescent="0.35">
      <c r="E10" s="46" t="s">
        <v>23</v>
      </c>
      <c r="F10" s="74">
        <v>176</v>
      </c>
      <c r="G10" s="76">
        <v>1436.27</v>
      </c>
      <c r="H10" s="76">
        <v>17235.240000000002</v>
      </c>
      <c r="I10" s="49">
        <v>220</v>
      </c>
    </row>
    <row r="11" spans="5:9" ht="15" thickBot="1" x14ac:dyDescent="0.4">
      <c r="E11" s="47" t="s">
        <v>237</v>
      </c>
      <c r="F11" s="75">
        <v>3</v>
      </c>
      <c r="G11" s="77">
        <v>0</v>
      </c>
      <c r="H11" s="77">
        <v>0</v>
      </c>
      <c r="I11" s="51">
        <v>16</v>
      </c>
    </row>
    <row r="12" spans="5:9" s="30" customFormat="1" x14ac:dyDescent="0.35"/>
    <row r="13" spans="5:9" s="30" customFormat="1" x14ac:dyDescent="0.35"/>
    <row r="14" spans="5:9" s="30" customFormat="1" x14ac:dyDescent="0.35"/>
    <row r="15" spans="5:9" s="30" customFormat="1" x14ac:dyDescent="0.35"/>
    <row r="16" spans="5:9" s="30" customFormat="1" x14ac:dyDescent="0.35"/>
    <row r="17" s="30" customFormat="1" x14ac:dyDescent="0.35"/>
    <row r="18" s="30" customFormat="1" x14ac:dyDescent="0.35"/>
    <row r="19" s="30" customFormat="1" x14ac:dyDescent="0.35"/>
    <row r="20" s="30" customFormat="1" x14ac:dyDescent="0.35"/>
    <row r="21" s="30" customFormat="1" x14ac:dyDescent="0.35"/>
    <row r="22" s="30" customFormat="1" x14ac:dyDescent="0.35"/>
    <row r="23" s="30" customFormat="1" x14ac:dyDescent="0.35"/>
    <row r="24" s="30" customFormat="1" x14ac:dyDescent="0.35"/>
    <row r="25" s="30" customFormat="1" x14ac:dyDescent="0.35"/>
    <row r="26" s="30" customFormat="1" x14ac:dyDescent="0.35"/>
    <row r="27" s="30" customFormat="1" x14ac:dyDescent="0.35"/>
    <row r="28" s="30" customFormat="1" x14ac:dyDescent="0.35"/>
    <row r="29" s="30" customFormat="1" x14ac:dyDescent="0.35"/>
    <row r="30" s="30" customFormat="1" x14ac:dyDescent="0.35"/>
    <row r="31" s="30" customFormat="1" x14ac:dyDescent="0.35"/>
    <row r="32" s="30" customFormat="1" x14ac:dyDescent="0.35"/>
    <row r="33" s="30" customFormat="1" x14ac:dyDescent="0.35"/>
    <row r="34" s="30" customFormat="1" x14ac:dyDescent="0.35"/>
    <row r="35" s="30" customFormat="1" x14ac:dyDescent="0.35"/>
    <row r="36" s="30" customFormat="1" x14ac:dyDescent="0.35"/>
    <row r="37" s="30" customFormat="1" x14ac:dyDescent="0.35"/>
    <row r="38" s="30" customFormat="1" x14ac:dyDescent="0.35"/>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8"/>
  <sheetViews>
    <sheetView workbookViewId="0">
      <selection activeCell="G16" sqref="G16"/>
    </sheetView>
  </sheetViews>
  <sheetFormatPr defaultRowHeight="14.5" x14ac:dyDescent="0.35"/>
  <cols>
    <col min="1" max="4" width="8.7265625" style="30"/>
    <col min="5" max="5" width="11.6328125" customWidth="1"/>
    <col min="6" max="6" width="16.54296875" customWidth="1"/>
    <col min="7" max="7" width="18.81640625" customWidth="1"/>
    <col min="8" max="8" width="18.453125" customWidth="1"/>
    <col min="9" max="9" width="19.08984375" customWidth="1"/>
    <col min="10" max="10" width="8.7265625" style="30"/>
    <col min="11" max="11" width="72.81640625" style="30" bestFit="1" customWidth="1"/>
    <col min="12" max="23" width="8.7265625" style="30"/>
    <col min="24" max="24" width="72.81640625" style="30" bestFit="1" customWidth="1"/>
    <col min="25" max="28" width="8.7265625" style="30"/>
    <col min="29" max="29" width="8.90625" style="30" customWidth="1"/>
  </cols>
  <sheetData>
    <row r="1" spans="5:11" s="30" customFormat="1" x14ac:dyDescent="0.35"/>
    <row r="2" spans="5:11" s="30" customFormat="1" x14ac:dyDescent="0.35"/>
    <row r="3" spans="5:11" s="30" customFormat="1" x14ac:dyDescent="0.35"/>
    <row r="4" spans="5:11" s="30" customFormat="1" ht="15" thickBot="1" x14ac:dyDescent="0.4"/>
    <row r="5" spans="5:11" ht="15" thickBot="1" x14ac:dyDescent="0.4">
      <c r="E5" s="83" t="s">
        <v>8</v>
      </c>
      <c r="F5" s="84" t="s">
        <v>410</v>
      </c>
      <c r="G5" s="84" t="s">
        <v>427</v>
      </c>
      <c r="H5" s="84" t="s">
        <v>428</v>
      </c>
      <c r="I5" s="85" t="s">
        <v>411</v>
      </c>
      <c r="K5" s="90" t="s">
        <v>430</v>
      </c>
    </row>
    <row r="6" spans="5:11" x14ac:dyDescent="0.35">
      <c r="E6" s="133" t="s">
        <v>22</v>
      </c>
      <c r="F6" s="81">
        <v>2</v>
      </c>
      <c r="G6" s="86">
        <v>181.5</v>
      </c>
      <c r="H6" s="86">
        <v>2178</v>
      </c>
      <c r="I6" s="82">
        <v>2.5</v>
      </c>
      <c r="K6" s="87" t="s">
        <v>438</v>
      </c>
    </row>
    <row r="7" spans="5:11" x14ac:dyDescent="0.35">
      <c r="E7" s="48" t="s">
        <v>39</v>
      </c>
      <c r="F7" s="74">
        <v>1</v>
      </c>
      <c r="G7" s="76">
        <v>46.38</v>
      </c>
      <c r="H7" s="76">
        <v>556.55999999999995</v>
      </c>
      <c r="I7" s="49">
        <v>2</v>
      </c>
      <c r="K7" s="87" t="s">
        <v>435</v>
      </c>
    </row>
    <row r="8" spans="5:11" x14ac:dyDescent="0.35">
      <c r="E8" s="48" t="s">
        <v>34</v>
      </c>
      <c r="F8" s="74">
        <v>100</v>
      </c>
      <c r="G8" s="76">
        <v>46.78</v>
      </c>
      <c r="H8" s="76">
        <v>561.36</v>
      </c>
      <c r="I8" s="49">
        <v>105</v>
      </c>
      <c r="K8" s="87" t="s">
        <v>436</v>
      </c>
    </row>
    <row r="9" spans="5:11" ht="15" thickBot="1" x14ac:dyDescent="0.4">
      <c r="E9" s="50" t="s">
        <v>24</v>
      </c>
      <c r="F9" s="75">
        <v>76</v>
      </c>
      <c r="G9" s="77">
        <v>1161.6099999999999</v>
      </c>
      <c r="H9" s="77">
        <v>13939.32</v>
      </c>
      <c r="I9" s="51">
        <v>126.5</v>
      </c>
      <c r="K9" s="88" t="s">
        <v>437</v>
      </c>
    </row>
    <row r="10" spans="5:11" s="30" customFormat="1" x14ac:dyDescent="0.35"/>
    <row r="11" spans="5:11" s="30" customFormat="1" x14ac:dyDescent="0.35"/>
    <row r="12" spans="5:11" s="30" customFormat="1" x14ac:dyDescent="0.35">
      <c r="K12" s="30" t="s">
        <v>441</v>
      </c>
    </row>
    <row r="13" spans="5:11" s="30" customFormat="1" x14ac:dyDescent="0.35">
      <c r="K13" s="30" t="s">
        <v>442</v>
      </c>
    </row>
    <row r="14" spans="5:11" s="30" customFormat="1" x14ac:dyDescent="0.35"/>
    <row r="15" spans="5:11" s="30" customFormat="1" x14ac:dyDescent="0.35"/>
    <row r="16" spans="5:11" s="30" customFormat="1" x14ac:dyDescent="0.35"/>
    <row r="17" spans="7:27" s="30" customFormat="1" x14ac:dyDescent="0.35"/>
    <row r="18" spans="7:27" s="30" customFormat="1" x14ac:dyDescent="0.35"/>
    <row r="19" spans="7:27" s="30" customFormat="1" x14ac:dyDescent="0.35"/>
    <row r="20" spans="7:27" s="30" customFormat="1" x14ac:dyDescent="0.35"/>
    <row r="21" spans="7:27" s="30" customFormat="1" x14ac:dyDescent="0.35"/>
    <row r="22" spans="7:27" s="30" customFormat="1" x14ac:dyDescent="0.35"/>
    <row r="23" spans="7:27" s="30" customFormat="1" x14ac:dyDescent="0.35">
      <c r="G23" s="30" t="s">
        <v>429</v>
      </c>
    </row>
    <row r="24" spans="7:27" s="30" customFormat="1" x14ac:dyDescent="0.35"/>
    <row r="25" spans="7:27" s="30" customFormat="1" x14ac:dyDescent="0.35"/>
    <row r="26" spans="7:27" s="30" customFormat="1" x14ac:dyDescent="0.35"/>
    <row r="27" spans="7:27" s="30" customFormat="1" x14ac:dyDescent="0.35"/>
    <row r="28" spans="7:27" s="30" customFormat="1" x14ac:dyDescent="0.35"/>
    <row r="29" spans="7:27" s="30" customFormat="1" x14ac:dyDescent="0.35"/>
    <row r="30" spans="7:27" s="30" customFormat="1" x14ac:dyDescent="0.35"/>
    <row r="31" spans="7:27" s="30" customFormat="1" x14ac:dyDescent="0.35">
      <c r="X31" t="s">
        <v>430</v>
      </c>
      <c r="Y31"/>
      <c r="Z31"/>
      <c r="AA31"/>
    </row>
    <row r="32" spans="7:27" s="30" customFormat="1" x14ac:dyDescent="0.35">
      <c r="X32" t="s">
        <v>431</v>
      </c>
      <c r="Y32"/>
      <c r="Z32"/>
      <c r="AA32"/>
    </row>
    <row r="33" spans="24:27" s="30" customFormat="1" x14ac:dyDescent="0.35">
      <c r="X33" t="s">
        <v>432</v>
      </c>
      <c r="Y33"/>
      <c r="Z33"/>
      <c r="AA33"/>
    </row>
    <row r="34" spans="24:27" s="30" customFormat="1" x14ac:dyDescent="0.35">
      <c r="X34" t="s">
        <v>433</v>
      </c>
      <c r="Y34"/>
      <c r="Z34"/>
      <c r="AA34"/>
    </row>
    <row r="35" spans="24:27" s="30" customFormat="1" x14ac:dyDescent="0.35">
      <c r="X35" t="s">
        <v>434</v>
      </c>
      <c r="Y35"/>
      <c r="Z35"/>
      <c r="AA35"/>
    </row>
    <row r="36" spans="24:27" s="30" customFormat="1" x14ac:dyDescent="0.35"/>
    <row r="37" spans="24:27" s="30" customFormat="1" x14ac:dyDescent="0.35"/>
    <row r="38" spans="24:27" s="30" customFormat="1" x14ac:dyDescent="0.35"/>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8"/>
  <sheetViews>
    <sheetView workbookViewId="0">
      <selection activeCell="E4" sqref="E4:F15"/>
    </sheetView>
  </sheetViews>
  <sheetFormatPr defaultRowHeight="14.5" x14ac:dyDescent="0.35"/>
  <cols>
    <col min="1" max="2" width="8.7265625" style="30"/>
    <col min="3" max="3" width="12.90625" style="1" bestFit="1" customWidth="1"/>
    <col min="4" max="4" width="17.453125" customWidth="1"/>
    <col min="5" max="5" width="23.7265625" customWidth="1"/>
    <col min="6" max="6" width="19.08984375" customWidth="1"/>
    <col min="7" max="7" width="30.7265625" customWidth="1"/>
    <col min="8" max="8" width="13.26953125" style="30" customWidth="1"/>
    <col min="9" max="23" width="8.7265625" style="30"/>
  </cols>
  <sheetData>
    <row r="1" spans="3:8" s="30" customFormat="1" x14ac:dyDescent="0.35">
      <c r="C1" s="91"/>
    </row>
    <row r="2" spans="3:8" s="30" customFormat="1" ht="15" thickBot="1" x14ac:dyDescent="0.4">
      <c r="C2" s="91"/>
    </row>
    <row r="3" spans="3:8" ht="15" thickBot="1" x14ac:dyDescent="0.4">
      <c r="C3" s="95" t="s">
        <v>2</v>
      </c>
      <c r="D3" s="66" t="s">
        <v>410</v>
      </c>
      <c r="E3" s="66" t="s">
        <v>427</v>
      </c>
      <c r="F3" s="96" t="s">
        <v>428</v>
      </c>
      <c r="G3" s="68" t="s">
        <v>411</v>
      </c>
      <c r="H3" s="89" t="s">
        <v>439</v>
      </c>
    </row>
    <row r="4" spans="3:8" x14ac:dyDescent="0.35">
      <c r="C4" s="94">
        <v>60795916949</v>
      </c>
      <c r="D4" s="64">
        <v>3</v>
      </c>
      <c r="E4" s="130">
        <v>47.85</v>
      </c>
      <c r="F4" s="130">
        <v>574.20000000000005</v>
      </c>
      <c r="G4" s="97">
        <v>6</v>
      </c>
      <c r="H4" s="100"/>
    </row>
    <row r="5" spans="3:8" x14ac:dyDescent="0.35">
      <c r="C5" s="92">
        <v>172763297484</v>
      </c>
      <c r="D5" s="2">
        <v>18</v>
      </c>
      <c r="E5" s="131">
        <v>287.10000000000002</v>
      </c>
      <c r="F5" s="131">
        <v>3445.2</v>
      </c>
      <c r="G5" s="98">
        <v>36</v>
      </c>
      <c r="H5" s="101"/>
    </row>
    <row r="6" spans="3:8" x14ac:dyDescent="0.35">
      <c r="C6" s="92">
        <v>277391387317</v>
      </c>
      <c r="D6" s="2">
        <v>22</v>
      </c>
      <c r="E6" s="131">
        <v>228.08</v>
      </c>
      <c r="F6" s="131">
        <v>2736.96</v>
      </c>
      <c r="G6" s="98">
        <v>32.5</v>
      </c>
      <c r="H6" s="101"/>
    </row>
    <row r="7" spans="3:8" x14ac:dyDescent="0.35">
      <c r="C7" s="92">
        <v>295451572584</v>
      </c>
      <c r="D7" s="2">
        <v>5</v>
      </c>
      <c r="E7" s="131">
        <v>51.82</v>
      </c>
      <c r="F7" s="131">
        <v>621.84</v>
      </c>
      <c r="G7" s="98">
        <v>9</v>
      </c>
      <c r="H7" s="101"/>
    </row>
    <row r="8" spans="3:8" x14ac:dyDescent="0.35">
      <c r="C8" s="92">
        <v>338938071146</v>
      </c>
      <c r="D8" s="2">
        <v>1</v>
      </c>
      <c r="E8" s="131">
        <v>0</v>
      </c>
      <c r="F8" s="131">
        <v>0</v>
      </c>
      <c r="G8" s="98">
        <v>4</v>
      </c>
      <c r="H8" s="101"/>
    </row>
    <row r="9" spans="3:8" x14ac:dyDescent="0.35">
      <c r="C9" s="92">
        <v>419135461434</v>
      </c>
      <c r="D9" s="2">
        <v>17</v>
      </c>
      <c r="E9" s="131">
        <v>185.94</v>
      </c>
      <c r="F9" s="131">
        <v>2231.2800000000002</v>
      </c>
      <c r="G9" s="98">
        <v>24.5</v>
      </c>
      <c r="H9" s="101"/>
    </row>
    <row r="10" spans="3:8" x14ac:dyDescent="0.35">
      <c r="C10" s="92">
        <v>512542238830</v>
      </c>
      <c r="D10" s="2">
        <v>14</v>
      </c>
      <c r="E10" s="131">
        <v>289.75</v>
      </c>
      <c r="F10" s="131">
        <v>3477</v>
      </c>
      <c r="G10" s="98">
        <v>21</v>
      </c>
      <c r="H10" s="101"/>
    </row>
    <row r="11" spans="3:8" x14ac:dyDescent="0.35">
      <c r="C11" s="92">
        <v>522814718659</v>
      </c>
      <c r="D11" s="2">
        <v>1</v>
      </c>
      <c r="E11" s="131">
        <v>15.95</v>
      </c>
      <c r="F11" s="131">
        <v>191.4</v>
      </c>
      <c r="G11" s="98">
        <v>2</v>
      </c>
      <c r="H11" s="101"/>
    </row>
    <row r="12" spans="3:8" x14ac:dyDescent="0.35">
      <c r="C12" s="92">
        <v>585008064350</v>
      </c>
      <c r="D12" s="2">
        <v>1</v>
      </c>
      <c r="E12" s="131">
        <v>5.97</v>
      </c>
      <c r="F12" s="131">
        <v>71.64</v>
      </c>
      <c r="G12" s="98">
        <v>2</v>
      </c>
      <c r="H12" s="101"/>
    </row>
    <row r="13" spans="3:8" x14ac:dyDescent="0.35">
      <c r="C13" s="92">
        <v>608649261817</v>
      </c>
      <c r="D13" s="2">
        <v>84</v>
      </c>
      <c r="E13" s="131">
        <v>243.93</v>
      </c>
      <c r="F13" s="131">
        <v>2927.16</v>
      </c>
      <c r="G13" s="98">
        <v>81</v>
      </c>
      <c r="H13" s="101"/>
    </row>
    <row r="14" spans="3:8" x14ac:dyDescent="0.35">
      <c r="C14" s="92">
        <v>628002692261</v>
      </c>
      <c r="D14" s="2">
        <v>5</v>
      </c>
      <c r="E14" s="131">
        <v>31.92</v>
      </c>
      <c r="F14" s="131">
        <v>383.04</v>
      </c>
      <c r="G14" s="98">
        <v>7</v>
      </c>
      <c r="H14" s="101"/>
    </row>
    <row r="15" spans="3:8" ht="15" thickBot="1" x14ac:dyDescent="0.4">
      <c r="C15" s="93">
        <v>779846800024</v>
      </c>
      <c r="D15" s="61">
        <v>8</v>
      </c>
      <c r="E15" s="132">
        <v>47.96</v>
      </c>
      <c r="F15" s="132">
        <v>575.52</v>
      </c>
      <c r="G15" s="99">
        <v>11</v>
      </c>
      <c r="H15" s="102"/>
    </row>
    <row r="16" spans="3:8" s="30" customFormat="1" x14ac:dyDescent="0.35">
      <c r="C16" s="91"/>
    </row>
    <row r="17" spans="3:3" s="30" customFormat="1" x14ac:dyDescent="0.35">
      <c r="C17" s="91"/>
    </row>
    <row r="18" spans="3:3" s="30" customFormat="1" x14ac:dyDescent="0.35">
      <c r="C18" s="91"/>
    </row>
    <row r="19" spans="3:3" s="30" customFormat="1" x14ac:dyDescent="0.35">
      <c r="C19" s="91"/>
    </row>
    <row r="20" spans="3:3" s="30" customFormat="1" x14ac:dyDescent="0.35">
      <c r="C20" s="91"/>
    </row>
    <row r="21" spans="3:3" s="30" customFormat="1" x14ac:dyDescent="0.35">
      <c r="C21" s="91"/>
    </row>
    <row r="22" spans="3:3" s="30" customFormat="1" x14ac:dyDescent="0.35">
      <c r="C22" s="91"/>
    </row>
    <row r="23" spans="3:3" s="30" customFormat="1" x14ac:dyDescent="0.35">
      <c r="C23" s="91"/>
    </row>
    <row r="24" spans="3:3" s="30" customFormat="1" x14ac:dyDescent="0.35">
      <c r="C24" s="91"/>
    </row>
    <row r="25" spans="3:3" s="30" customFormat="1" x14ac:dyDescent="0.35">
      <c r="C25" s="91"/>
    </row>
    <row r="26" spans="3:3" s="30" customFormat="1" x14ac:dyDescent="0.35">
      <c r="C26" s="91"/>
    </row>
    <row r="27" spans="3:3" s="30" customFormat="1" x14ac:dyDescent="0.35">
      <c r="C27" s="91"/>
    </row>
    <row r="28" spans="3:3" s="30" customFormat="1" x14ac:dyDescent="0.35">
      <c r="C28" s="91"/>
    </row>
    <row r="29" spans="3:3" s="30" customFormat="1" x14ac:dyDescent="0.35">
      <c r="C29" s="91"/>
    </row>
    <row r="30" spans="3:3" s="30" customFormat="1" x14ac:dyDescent="0.35">
      <c r="C30" s="91"/>
    </row>
    <row r="31" spans="3:3" s="30" customFormat="1" x14ac:dyDescent="0.35">
      <c r="C31" s="91"/>
    </row>
    <row r="32" spans="3:3" s="30" customFormat="1" x14ac:dyDescent="0.35">
      <c r="C32" s="91"/>
    </row>
    <row r="33" spans="3:3" s="30" customFormat="1" x14ac:dyDescent="0.35">
      <c r="C33" s="91"/>
    </row>
    <row r="34" spans="3:3" s="30" customFormat="1" x14ac:dyDescent="0.35">
      <c r="C34" s="91"/>
    </row>
    <row r="35" spans="3:3" s="30" customFormat="1" x14ac:dyDescent="0.35">
      <c r="C35" s="91"/>
    </row>
    <row r="36" spans="3:3" s="30" customFormat="1" x14ac:dyDescent="0.35">
      <c r="C36" s="91"/>
    </row>
    <row r="37" spans="3:3" s="30" customFormat="1" x14ac:dyDescent="0.35">
      <c r="C37" s="91"/>
    </row>
    <row r="38" spans="3:3" s="30" customFormat="1" x14ac:dyDescent="0.35">
      <c r="C38" s="9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
  <sheetViews>
    <sheetView topLeftCell="G1" workbookViewId="0">
      <selection activeCell="K10" sqref="K10"/>
    </sheetView>
  </sheetViews>
  <sheetFormatPr defaultRowHeight="14.5" x14ac:dyDescent="0.35"/>
  <cols>
    <col min="1" max="1" width="8.7265625" style="30"/>
    <col min="2" max="2" width="11.7265625" customWidth="1"/>
    <col min="3" max="3" width="13.08984375" customWidth="1"/>
    <col min="4" max="4" width="12.90625" style="1" bestFit="1" customWidth="1"/>
    <col min="5" max="5" width="25.81640625" customWidth="1"/>
    <col min="6" max="6" width="16.08984375" customWidth="1"/>
    <col min="7" max="7" width="15.1796875" customWidth="1"/>
    <col min="8" max="8" width="23.81640625" customWidth="1"/>
    <col min="9" max="9" width="30" customWidth="1"/>
    <col min="10" max="10" width="22.54296875" customWidth="1"/>
    <col min="11" max="11" width="17.7265625" customWidth="1"/>
    <col min="12" max="12" width="36.453125" customWidth="1"/>
    <col min="13" max="13" width="24.453125" customWidth="1"/>
    <col min="14" max="14" width="20.1796875" customWidth="1"/>
    <col min="15" max="15" width="19.54296875" customWidth="1"/>
    <col min="16" max="16" width="17.453125" customWidth="1"/>
    <col min="17" max="17" width="80" customWidth="1"/>
    <col min="18" max="18" width="18.1796875" customWidth="1"/>
    <col min="19" max="19" width="21" bestFit="1" customWidth="1"/>
  </cols>
  <sheetData>
    <row r="1" spans="2:19" s="30" customFormat="1" ht="15" thickBot="1" x14ac:dyDescent="0.4">
      <c r="D1" s="91"/>
    </row>
    <row r="2" spans="2:19" ht="15" thickBot="1" x14ac:dyDescent="0.4">
      <c r="B2" s="108" t="s">
        <v>0</v>
      </c>
      <c r="C2" s="68" t="s">
        <v>1</v>
      </c>
      <c r="D2" s="109" t="s">
        <v>2</v>
      </c>
      <c r="E2" s="68" t="s">
        <v>3</v>
      </c>
      <c r="F2" s="111" t="s">
        <v>4</v>
      </c>
      <c r="G2" s="68" t="s">
        <v>5</v>
      </c>
      <c r="H2" s="111" t="s">
        <v>6</v>
      </c>
      <c r="I2" s="68" t="s">
        <v>418</v>
      </c>
      <c r="J2" s="110" t="s">
        <v>7</v>
      </c>
      <c r="K2" s="112" t="s">
        <v>8</v>
      </c>
      <c r="L2" s="68" t="s">
        <v>9</v>
      </c>
      <c r="M2" s="110" t="s">
        <v>10</v>
      </c>
      <c r="N2" s="57" t="s">
        <v>11</v>
      </c>
      <c r="O2" s="112" t="s">
        <v>12</v>
      </c>
      <c r="P2" s="68" t="s">
        <v>428</v>
      </c>
      <c r="Q2" s="111" t="s">
        <v>13</v>
      </c>
      <c r="R2" s="68" t="s">
        <v>14</v>
      </c>
      <c r="S2" s="118" t="s">
        <v>15</v>
      </c>
    </row>
    <row r="3" spans="2:19" ht="120" customHeight="1" x14ac:dyDescent="0.35">
      <c r="B3" s="103" t="s">
        <v>16</v>
      </c>
      <c r="C3" s="105" t="s">
        <v>16</v>
      </c>
      <c r="D3" s="113">
        <v>512542238830</v>
      </c>
      <c r="E3" s="115" t="s">
        <v>17</v>
      </c>
      <c r="F3" s="74" t="s">
        <v>18</v>
      </c>
      <c r="G3" s="81" t="s">
        <v>19</v>
      </c>
      <c r="H3" s="116" t="s">
        <v>20</v>
      </c>
      <c r="I3" s="121">
        <v>104.67</v>
      </c>
      <c r="J3" s="116" t="s">
        <v>21</v>
      </c>
      <c r="K3" s="74" t="s">
        <v>22</v>
      </c>
      <c r="L3" s="81" t="s">
        <v>419</v>
      </c>
      <c r="M3" s="74">
        <v>2</v>
      </c>
      <c r="N3" s="74" t="s">
        <v>24</v>
      </c>
      <c r="O3" s="74" t="s">
        <v>25</v>
      </c>
      <c r="P3" s="120">
        <f>(I3*12)</f>
        <v>1256.04</v>
      </c>
      <c r="Q3" s="116" t="s">
        <v>26</v>
      </c>
      <c r="R3" s="81" t="s">
        <v>27</v>
      </c>
      <c r="S3" s="49" t="s">
        <v>28</v>
      </c>
    </row>
    <row r="4" spans="2:19" ht="120" customHeight="1" x14ac:dyDescent="0.35">
      <c r="B4" s="104"/>
      <c r="C4" s="105"/>
      <c r="D4" s="113">
        <v>512542238830</v>
      </c>
      <c r="E4" s="74" t="s">
        <v>29</v>
      </c>
      <c r="F4" s="74" t="s">
        <v>30</v>
      </c>
      <c r="G4" s="74" t="s">
        <v>31</v>
      </c>
      <c r="H4" s="116" t="s">
        <v>32</v>
      </c>
      <c r="I4" s="122">
        <v>76.83</v>
      </c>
      <c r="J4" s="116" t="s">
        <v>33</v>
      </c>
      <c r="K4" s="74" t="s">
        <v>22</v>
      </c>
      <c r="L4" s="81" t="s">
        <v>419</v>
      </c>
      <c r="M4" s="74">
        <v>0.5</v>
      </c>
      <c r="N4" s="74" t="s">
        <v>34</v>
      </c>
      <c r="O4" s="74" t="s">
        <v>25</v>
      </c>
      <c r="P4" s="120">
        <f t="shared" ref="P4:P5" si="0">(I4*12)</f>
        <v>921.96</v>
      </c>
      <c r="Q4" s="116" t="s">
        <v>35</v>
      </c>
      <c r="R4" s="74" t="s">
        <v>36</v>
      </c>
      <c r="S4" s="49" t="s">
        <v>37</v>
      </c>
    </row>
    <row r="5" spans="2:19" ht="120" customHeight="1" thickBot="1" x14ac:dyDescent="0.4">
      <c r="B5" s="106"/>
      <c r="C5" s="107"/>
      <c r="D5" s="114">
        <v>512542238830</v>
      </c>
      <c r="E5" s="75" t="s">
        <v>38</v>
      </c>
      <c r="F5" s="75" t="s">
        <v>18</v>
      </c>
      <c r="G5" s="75" t="s">
        <v>19</v>
      </c>
      <c r="H5" s="117" t="s">
        <v>20</v>
      </c>
      <c r="I5" s="123">
        <v>46.38</v>
      </c>
      <c r="J5" s="117" t="s">
        <v>21</v>
      </c>
      <c r="K5" s="75" t="s">
        <v>39</v>
      </c>
      <c r="L5" s="119" t="s">
        <v>419</v>
      </c>
      <c r="M5" s="75">
        <v>2</v>
      </c>
      <c r="N5" s="75" t="s">
        <v>24</v>
      </c>
      <c r="O5" s="75" t="s">
        <v>25</v>
      </c>
      <c r="P5" s="120">
        <f t="shared" si="0"/>
        <v>556.56000000000006</v>
      </c>
      <c r="Q5" s="117" t="s">
        <v>40</v>
      </c>
      <c r="R5" s="75" t="s">
        <v>41</v>
      </c>
      <c r="S5" s="51" t="s">
        <v>28</v>
      </c>
    </row>
  </sheetData>
  <mergeCells count="2">
    <mergeCell ref="B3:B5"/>
    <mergeCell ref="C3:C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9"/>
  <sheetViews>
    <sheetView workbookViewId="0">
      <selection activeCell="C3" sqref="C3:C13"/>
    </sheetView>
  </sheetViews>
  <sheetFormatPr defaultRowHeight="14" x14ac:dyDescent="0.35"/>
  <cols>
    <col min="1" max="1" width="2.1796875" style="35" customWidth="1"/>
    <col min="2" max="2" width="13.81640625" style="15" customWidth="1"/>
    <col min="3" max="3" width="16.08984375" style="15" customWidth="1"/>
    <col min="4" max="4" width="19.6328125" style="16" customWidth="1"/>
    <col min="5" max="5" width="40" style="15" customWidth="1"/>
    <col min="6" max="6" width="21.1796875" style="15" customWidth="1"/>
    <col min="7" max="7" width="13.90625" style="15" customWidth="1"/>
    <col min="8" max="8" width="23.36328125" style="17" customWidth="1"/>
    <col min="9" max="9" width="26.81640625" style="18" customWidth="1"/>
    <col min="10" max="10" width="28.453125" style="15" bestFit="1" customWidth="1"/>
    <col min="11" max="11" width="13.81640625" style="15" customWidth="1"/>
    <col min="12" max="12" width="32.54296875" style="15" customWidth="1"/>
    <col min="13" max="13" width="31.26953125" style="15" customWidth="1"/>
    <col min="14" max="14" width="11.453125" style="15" bestFit="1" customWidth="1"/>
    <col min="15" max="15" width="24.08984375" style="15" bestFit="1" customWidth="1"/>
    <col min="16" max="16" width="18.36328125" style="15" bestFit="1" customWidth="1"/>
    <col min="17" max="17" width="80" style="15" customWidth="1"/>
    <col min="18" max="18" width="46.26953125" style="15" customWidth="1"/>
    <col min="19" max="19" width="22.90625" style="15" bestFit="1" customWidth="1"/>
    <col min="20" max="26" width="8.7265625" style="31"/>
    <col min="27" max="16384" width="8.7265625" style="15"/>
  </cols>
  <sheetData>
    <row r="1" spans="1:19" s="39" customFormat="1" ht="14.5" thickBot="1" x14ac:dyDescent="0.4">
      <c r="D1" s="40"/>
      <c r="H1" s="41"/>
      <c r="I1" s="42"/>
    </row>
    <row r="2" spans="1:19" ht="14.5" thickBot="1" x14ac:dyDescent="0.4">
      <c r="B2" s="24" t="s">
        <v>0</v>
      </c>
      <c r="C2" s="25" t="s">
        <v>1</v>
      </c>
      <c r="D2" s="26" t="s">
        <v>2</v>
      </c>
      <c r="E2" s="25" t="s">
        <v>3</v>
      </c>
      <c r="F2" s="27" t="s">
        <v>4</v>
      </c>
      <c r="G2" s="25" t="s">
        <v>5</v>
      </c>
      <c r="H2" s="28" t="s">
        <v>6</v>
      </c>
      <c r="I2" s="25" t="s">
        <v>418</v>
      </c>
      <c r="J2" s="27" t="s">
        <v>7</v>
      </c>
      <c r="K2" s="25" t="s">
        <v>8</v>
      </c>
      <c r="L2" s="27" t="s">
        <v>9</v>
      </c>
      <c r="M2" s="25" t="s">
        <v>420</v>
      </c>
      <c r="N2" s="27" t="s">
        <v>11</v>
      </c>
      <c r="O2" s="25" t="s">
        <v>12</v>
      </c>
      <c r="P2" s="29" t="s">
        <v>421</v>
      </c>
      <c r="Q2" s="37" t="s">
        <v>13</v>
      </c>
      <c r="R2" s="37" t="s">
        <v>14</v>
      </c>
      <c r="S2" s="38" t="s">
        <v>15</v>
      </c>
    </row>
    <row r="3" spans="1:19" ht="120" customHeight="1" x14ac:dyDescent="0.35">
      <c r="B3" s="127" t="s">
        <v>16</v>
      </c>
      <c r="C3" s="127" t="s">
        <v>16</v>
      </c>
      <c r="D3" s="20">
        <v>512542238830</v>
      </c>
      <c r="E3" s="10" t="s">
        <v>29</v>
      </c>
      <c r="F3" s="10" t="s">
        <v>30</v>
      </c>
      <c r="G3" s="10" t="s">
        <v>31</v>
      </c>
      <c r="H3" s="43" t="s">
        <v>32</v>
      </c>
      <c r="I3" s="124">
        <v>76.83</v>
      </c>
      <c r="J3" s="10" t="s">
        <v>33</v>
      </c>
      <c r="K3" s="10" t="s">
        <v>22</v>
      </c>
      <c r="L3" s="10" t="s">
        <v>23</v>
      </c>
      <c r="M3" s="10">
        <v>0.5</v>
      </c>
      <c r="N3" s="10" t="s">
        <v>34</v>
      </c>
      <c r="O3" s="10" t="s">
        <v>25</v>
      </c>
      <c r="P3" s="124">
        <f>(I3*12)</f>
        <v>921.96</v>
      </c>
      <c r="Q3" s="43" t="s">
        <v>35</v>
      </c>
      <c r="R3" s="10" t="s">
        <v>36</v>
      </c>
      <c r="S3" s="11" t="s">
        <v>37</v>
      </c>
    </row>
    <row r="4" spans="1:19" ht="120" customHeight="1" x14ac:dyDescent="0.35">
      <c r="B4" s="128"/>
      <c r="C4" s="128"/>
      <c r="D4" s="19">
        <v>608649261817</v>
      </c>
      <c r="E4" s="44" t="s">
        <v>42</v>
      </c>
      <c r="F4" s="3" t="s">
        <v>30</v>
      </c>
      <c r="G4" s="3" t="s">
        <v>31</v>
      </c>
      <c r="H4" s="44" t="s">
        <v>32</v>
      </c>
      <c r="I4" s="125">
        <v>19.21</v>
      </c>
      <c r="J4" s="3" t="s">
        <v>33</v>
      </c>
      <c r="K4" s="3" t="s">
        <v>24</v>
      </c>
      <c r="L4" s="3" t="s">
        <v>419</v>
      </c>
      <c r="M4" s="3">
        <v>0.5</v>
      </c>
      <c r="N4" s="3" t="s">
        <v>34</v>
      </c>
      <c r="O4" s="3" t="s">
        <v>25</v>
      </c>
      <c r="P4" s="124">
        <f t="shared" ref="P4:P13" si="0">(I4*12)</f>
        <v>230.52</v>
      </c>
      <c r="Q4" s="44" t="s">
        <v>43</v>
      </c>
      <c r="R4" s="3" t="s">
        <v>44</v>
      </c>
      <c r="S4" s="5" t="s">
        <v>37</v>
      </c>
    </row>
    <row r="5" spans="1:19" ht="120" customHeight="1" x14ac:dyDescent="0.35">
      <c r="B5" s="128"/>
      <c r="C5" s="128"/>
      <c r="D5" s="19">
        <v>608649261817</v>
      </c>
      <c r="E5" s="44" t="s">
        <v>42</v>
      </c>
      <c r="F5" s="3" t="s">
        <v>30</v>
      </c>
      <c r="G5" s="3" t="s">
        <v>31</v>
      </c>
      <c r="H5" s="44" t="s">
        <v>32</v>
      </c>
      <c r="I5" s="125">
        <v>19.21</v>
      </c>
      <c r="J5" s="3" t="s">
        <v>33</v>
      </c>
      <c r="K5" s="3" t="s">
        <v>24</v>
      </c>
      <c r="L5" s="3" t="s">
        <v>419</v>
      </c>
      <c r="M5" s="3">
        <v>0.5</v>
      </c>
      <c r="N5" s="3" t="s">
        <v>34</v>
      </c>
      <c r="O5" s="3" t="s">
        <v>25</v>
      </c>
      <c r="P5" s="124">
        <f t="shared" si="0"/>
        <v>230.52</v>
      </c>
      <c r="Q5" s="44" t="s">
        <v>43</v>
      </c>
      <c r="R5" s="3" t="s">
        <v>44</v>
      </c>
      <c r="S5" s="5" t="s">
        <v>37</v>
      </c>
    </row>
    <row r="6" spans="1:19" ht="120" customHeight="1" x14ac:dyDescent="0.35">
      <c r="B6" s="128"/>
      <c r="C6" s="128"/>
      <c r="D6" s="19">
        <v>608649261817</v>
      </c>
      <c r="E6" s="44" t="s">
        <v>42</v>
      </c>
      <c r="F6" s="3" t="s">
        <v>30</v>
      </c>
      <c r="G6" s="3" t="s">
        <v>31</v>
      </c>
      <c r="H6" s="44" t="s">
        <v>32</v>
      </c>
      <c r="I6" s="125">
        <v>19.21</v>
      </c>
      <c r="J6" s="3" t="s">
        <v>33</v>
      </c>
      <c r="K6" s="3" t="s">
        <v>24</v>
      </c>
      <c r="L6" s="3" t="s">
        <v>419</v>
      </c>
      <c r="M6" s="3">
        <v>0.5</v>
      </c>
      <c r="N6" s="3" t="s">
        <v>34</v>
      </c>
      <c r="O6" s="3" t="s">
        <v>25</v>
      </c>
      <c r="P6" s="124">
        <f t="shared" si="0"/>
        <v>230.52</v>
      </c>
      <c r="Q6" s="44" t="s">
        <v>43</v>
      </c>
      <c r="R6" s="3" t="s">
        <v>44</v>
      </c>
      <c r="S6" s="5" t="s">
        <v>37</v>
      </c>
    </row>
    <row r="7" spans="1:19" ht="120" customHeight="1" x14ac:dyDescent="0.35">
      <c r="B7" s="128"/>
      <c r="C7" s="128"/>
      <c r="D7" s="19">
        <v>608649261817</v>
      </c>
      <c r="E7" s="44" t="s">
        <v>42</v>
      </c>
      <c r="F7" s="3" t="s">
        <v>30</v>
      </c>
      <c r="G7" s="3" t="s">
        <v>31</v>
      </c>
      <c r="H7" s="44" t="s">
        <v>32</v>
      </c>
      <c r="I7" s="125">
        <v>19.21</v>
      </c>
      <c r="J7" s="3" t="s">
        <v>33</v>
      </c>
      <c r="K7" s="3" t="s">
        <v>24</v>
      </c>
      <c r="L7" s="3" t="s">
        <v>419</v>
      </c>
      <c r="M7" s="3">
        <v>0.5</v>
      </c>
      <c r="N7" s="3" t="s">
        <v>34</v>
      </c>
      <c r="O7" s="3" t="s">
        <v>25</v>
      </c>
      <c r="P7" s="124">
        <f t="shared" si="0"/>
        <v>230.52</v>
      </c>
      <c r="Q7" s="44" t="s">
        <v>43</v>
      </c>
      <c r="R7" s="3" t="s">
        <v>44</v>
      </c>
      <c r="S7" s="5" t="s">
        <v>37</v>
      </c>
    </row>
    <row r="8" spans="1:19" ht="120" customHeight="1" x14ac:dyDescent="0.35">
      <c r="B8" s="128"/>
      <c r="C8" s="128"/>
      <c r="D8" s="19">
        <v>608649261817</v>
      </c>
      <c r="E8" s="44" t="s">
        <v>42</v>
      </c>
      <c r="F8" s="3" t="s">
        <v>30</v>
      </c>
      <c r="G8" s="3" t="s">
        <v>31</v>
      </c>
      <c r="H8" s="44" t="s">
        <v>32</v>
      </c>
      <c r="I8" s="125">
        <v>18.559999999999999</v>
      </c>
      <c r="J8" s="3" t="s">
        <v>33</v>
      </c>
      <c r="K8" s="3" t="s">
        <v>24</v>
      </c>
      <c r="L8" s="3" t="s">
        <v>419</v>
      </c>
      <c r="M8" s="3">
        <v>0.5</v>
      </c>
      <c r="N8" s="3" t="s">
        <v>34</v>
      </c>
      <c r="O8" s="3" t="s">
        <v>25</v>
      </c>
      <c r="P8" s="124">
        <f t="shared" si="0"/>
        <v>222.71999999999997</v>
      </c>
      <c r="Q8" s="44" t="s">
        <v>43</v>
      </c>
      <c r="R8" s="3" t="s">
        <v>44</v>
      </c>
      <c r="S8" s="5" t="s">
        <v>37</v>
      </c>
    </row>
    <row r="9" spans="1:19" ht="120" customHeight="1" x14ac:dyDescent="0.35">
      <c r="B9" s="128"/>
      <c r="C9" s="128"/>
      <c r="D9" s="19">
        <v>608649261817</v>
      </c>
      <c r="E9" s="44" t="s">
        <v>42</v>
      </c>
      <c r="F9" s="3" t="s">
        <v>30</v>
      </c>
      <c r="G9" s="3" t="s">
        <v>31</v>
      </c>
      <c r="H9" s="44" t="s">
        <v>32</v>
      </c>
      <c r="I9" s="125">
        <v>18.559999999999999</v>
      </c>
      <c r="J9" s="3" t="s">
        <v>33</v>
      </c>
      <c r="K9" s="3" t="s">
        <v>24</v>
      </c>
      <c r="L9" s="3" t="s">
        <v>419</v>
      </c>
      <c r="M9" s="3">
        <v>0.5</v>
      </c>
      <c r="N9" s="3" t="s">
        <v>34</v>
      </c>
      <c r="O9" s="3" t="s">
        <v>25</v>
      </c>
      <c r="P9" s="124">
        <f t="shared" si="0"/>
        <v>222.71999999999997</v>
      </c>
      <c r="Q9" s="44" t="s">
        <v>43</v>
      </c>
      <c r="R9" s="3" t="s">
        <v>44</v>
      </c>
      <c r="S9" s="5" t="s">
        <v>37</v>
      </c>
    </row>
    <row r="10" spans="1:19" ht="120" customHeight="1" x14ac:dyDescent="0.35">
      <c r="B10" s="128"/>
      <c r="C10" s="128"/>
      <c r="D10" s="19">
        <v>608649261817</v>
      </c>
      <c r="E10" s="44" t="s">
        <v>42</v>
      </c>
      <c r="F10" s="3" t="s">
        <v>30</v>
      </c>
      <c r="G10" s="3" t="s">
        <v>31</v>
      </c>
      <c r="H10" s="44" t="s">
        <v>32</v>
      </c>
      <c r="I10" s="125">
        <v>18.559999999999999</v>
      </c>
      <c r="J10" s="3" t="s">
        <v>33</v>
      </c>
      <c r="K10" s="3" t="s">
        <v>24</v>
      </c>
      <c r="L10" s="3" t="s">
        <v>419</v>
      </c>
      <c r="M10" s="3">
        <v>0.5</v>
      </c>
      <c r="N10" s="3" t="s">
        <v>34</v>
      </c>
      <c r="O10" s="3" t="s">
        <v>25</v>
      </c>
      <c r="P10" s="124">
        <f t="shared" si="0"/>
        <v>222.71999999999997</v>
      </c>
      <c r="Q10" s="44" t="s">
        <v>43</v>
      </c>
      <c r="R10" s="3" t="s">
        <v>44</v>
      </c>
      <c r="S10" s="5" t="s">
        <v>37</v>
      </c>
    </row>
    <row r="11" spans="1:19" ht="120" customHeight="1" x14ac:dyDescent="0.35">
      <c r="B11" s="128"/>
      <c r="C11" s="128"/>
      <c r="D11" s="19">
        <v>419135461434</v>
      </c>
      <c r="E11" s="3" t="s">
        <v>159</v>
      </c>
      <c r="F11" s="3" t="s">
        <v>30</v>
      </c>
      <c r="G11" s="3" t="s">
        <v>31</v>
      </c>
      <c r="H11" s="44" t="s">
        <v>32</v>
      </c>
      <c r="I11" s="125">
        <v>15.37</v>
      </c>
      <c r="J11" s="3" t="s">
        <v>33</v>
      </c>
      <c r="K11" s="3" t="s">
        <v>24</v>
      </c>
      <c r="L11" s="3" t="s">
        <v>419</v>
      </c>
      <c r="M11" s="3">
        <v>0.5</v>
      </c>
      <c r="N11" s="3" t="s">
        <v>34</v>
      </c>
      <c r="O11" s="3" t="s">
        <v>25</v>
      </c>
      <c r="P11" s="124">
        <f t="shared" si="0"/>
        <v>184.44</v>
      </c>
      <c r="Q11" s="44" t="s">
        <v>160</v>
      </c>
      <c r="R11" s="3" t="s">
        <v>44</v>
      </c>
      <c r="S11" s="5" t="s">
        <v>37</v>
      </c>
    </row>
    <row r="12" spans="1:19" ht="120" customHeight="1" x14ac:dyDescent="0.35">
      <c r="B12" s="128"/>
      <c r="C12" s="128"/>
      <c r="D12" s="19">
        <v>512542238830</v>
      </c>
      <c r="E12" s="3" t="s">
        <v>161</v>
      </c>
      <c r="F12" s="3" t="s">
        <v>30</v>
      </c>
      <c r="G12" s="3" t="s">
        <v>31</v>
      </c>
      <c r="H12" s="44" t="s">
        <v>32</v>
      </c>
      <c r="I12" s="125">
        <v>15.37</v>
      </c>
      <c r="J12" s="3" t="s">
        <v>33</v>
      </c>
      <c r="K12" s="3" t="s">
        <v>24</v>
      </c>
      <c r="L12" s="3" t="s">
        <v>419</v>
      </c>
      <c r="M12" s="3">
        <v>0.5</v>
      </c>
      <c r="N12" s="3" t="s">
        <v>34</v>
      </c>
      <c r="O12" s="3" t="s">
        <v>25</v>
      </c>
      <c r="P12" s="124">
        <f t="shared" si="0"/>
        <v>184.44</v>
      </c>
      <c r="Q12" s="44" t="s">
        <v>162</v>
      </c>
      <c r="R12" s="3" t="s">
        <v>44</v>
      </c>
      <c r="S12" s="5" t="s">
        <v>37</v>
      </c>
    </row>
    <row r="13" spans="1:19" ht="120" customHeight="1" thickBot="1" x14ac:dyDescent="0.4">
      <c r="B13" s="129"/>
      <c r="C13" s="129"/>
      <c r="D13" s="22">
        <v>512542238830</v>
      </c>
      <c r="E13" s="7" t="s">
        <v>163</v>
      </c>
      <c r="F13" s="7" t="s">
        <v>30</v>
      </c>
      <c r="G13" s="7" t="s">
        <v>31</v>
      </c>
      <c r="H13" s="45" t="s">
        <v>32</v>
      </c>
      <c r="I13" s="126">
        <v>15.37</v>
      </c>
      <c r="J13" s="7" t="s">
        <v>33</v>
      </c>
      <c r="K13" s="7" t="s">
        <v>24</v>
      </c>
      <c r="L13" s="7" t="s">
        <v>419</v>
      </c>
      <c r="M13" s="7">
        <v>0.5</v>
      </c>
      <c r="N13" s="7" t="s">
        <v>34</v>
      </c>
      <c r="O13" s="7" t="s">
        <v>25</v>
      </c>
      <c r="P13" s="124">
        <f t="shared" si="0"/>
        <v>184.44</v>
      </c>
      <c r="Q13" s="45" t="s">
        <v>164</v>
      </c>
      <c r="R13" s="7" t="s">
        <v>44</v>
      </c>
      <c r="S13" s="8" t="s">
        <v>37</v>
      </c>
    </row>
    <row r="14" spans="1:19" s="31" customFormat="1" x14ac:dyDescent="0.35">
      <c r="A14" s="36"/>
      <c r="D14" s="32"/>
      <c r="H14" s="33"/>
      <c r="I14" s="34"/>
    </row>
    <row r="15" spans="1:19" s="31" customFormat="1" x14ac:dyDescent="0.35">
      <c r="A15" s="36"/>
      <c r="D15" s="32"/>
      <c r="H15" s="33"/>
      <c r="I15" s="34"/>
    </row>
    <row r="16" spans="1:19" s="31" customFormat="1" x14ac:dyDescent="0.35">
      <c r="A16" s="36"/>
      <c r="D16" s="32"/>
      <c r="H16" s="33"/>
      <c r="I16" s="34"/>
    </row>
    <row r="17" spans="1:9" s="31" customFormat="1" x14ac:dyDescent="0.35">
      <c r="A17" s="36"/>
      <c r="D17" s="32"/>
      <c r="H17" s="33"/>
      <c r="I17" s="34"/>
    </row>
    <row r="18" spans="1:9" s="31" customFormat="1" x14ac:dyDescent="0.35">
      <c r="A18" s="36"/>
      <c r="D18" s="32"/>
      <c r="H18" s="33"/>
      <c r="I18" s="34"/>
    </row>
    <row r="19" spans="1:9" s="31" customFormat="1" x14ac:dyDescent="0.35">
      <c r="A19" s="36"/>
      <c r="D19" s="32"/>
      <c r="H19" s="33"/>
      <c r="I19" s="34"/>
    </row>
    <row r="20" spans="1:9" s="31" customFormat="1" x14ac:dyDescent="0.35">
      <c r="A20" s="36"/>
      <c r="D20" s="32"/>
      <c r="H20" s="33"/>
      <c r="I20" s="34"/>
    </row>
    <row r="21" spans="1:9" s="31" customFormat="1" x14ac:dyDescent="0.35">
      <c r="A21" s="36"/>
      <c r="D21" s="32"/>
      <c r="H21" s="33"/>
      <c r="I21" s="34"/>
    </row>
    <row r="22" spans="1:9" s="31" customFormat="1" x14ac:dyDescent="0.35">
      <c r="A22" s="36"/>
      <c r="D22" s="32"/>
      <c r="H22" s="33"/>
      <c r="I22" s="34"/>
    </row>
    <row r="23" spans="1:9" s="31" customFormat="1" x14ac:dyDescent="0.35">
      <c r="A23" s="36"/>
      <c r="D23" s="32"/>
      <c r="H23" s="33"/>
      <c r="I23" s="34"/>
    </row>
    <row r="24" spans="1:9" s="31" customFormat="1" x14ac:dyDescent="0.35">
      <c r="A24" s="36"/>
      <c r="D24" s="32"/>
      <c r="H24" s="33"/>
      <c r="I24" s="34"/>
    </row>
    <row r="25" spans="1:9" s="31" customFormat="1" x14ac:dyDescent="0.35">
      <c r="A25" s="36"/>
      <c r="D25" s="32"/>
      <c r="H25" s="33"/>
      <c r="I25" s="34"/>
    </row>
    <row r="26" spans="1:9" s="31" customFormat="1" x14ac:dyDescent="0.35">
      <c r="A26" s="36"/>
      <c r="D26" s="32"/>
      <c r="H26" s="33"/>
      <c r="I26" s="34"/>
    </row>
    <row r="27" spans="1:9" s="31" customFormat="1" x14ac:dyDescent="0.35">
      <c r="A27" s="36"/>
      <c r="D27" s="32"/>
      <c r="H27" s="33"/>
      <c r="I27" s="34"/>
    </row>
    <row r="28" spans="1:9" s="31" customFormat="1" x14ac:dyDescent="0.35">
      <c r="A28" s="36"/>
      <c r="D28" s="32"/>
      <c r="H28" s="33"/>
      <c r="I28" s="34"/>
    </row>
    <row r="29" spans="1:9" s="31" customFormat="1" x14ac:dyDescent="0.35">
      <c r="A29" s="36"/>
      <c r="D29" s="32"/>
      <c r="H29" s="33"/>
      <c r="I29" s="34"/>
    </row>
  </sheetData>
  <mergeCells count="2">
    <mergeCell ref="B3:B13"/>
    <mergeCell ref="C3:C1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5"/>
  <sheetViews>
    <sheetView tabSelected="1" workbookViewId="0">
      <selection activeCell="G11" sqref="G11"/>
    </sheetView>
  </sheetViews>
  <sheetFormatPr defaultRowHeight="14.5" x14ac:dyDescent="0.35"/>
  <cols>
    <col min="1" max="2" width="8.7265625" style="30"/>
    <col min="3" max="3" width="38.08984375" customWidth="1"/>
    <col min="4" max="4" width="16.6328125" customWidth="1"/>
    <col min="5" max="5" width="19.81640625" customWidth="1"/>
    <col min="6" max="6" width="18.1796875" customWidth="1"/>
    <col min="7" max="7" width="19" customWidth="1"/>
    <col min="8" max="8" width="26.36328125" customWidth="1"/>
    <col min="9" max="9" width="78.08984375" bestFit="1" customWidth="1"/>
    <col min="10" max="12" width="8.7265625" style="30"/>
  </cols>
  <sheetData>
    <row r="1" spans="3:9" x14ac:dyDescent="0.35">
      <c r="C1" s="30"/>
      <c r="D1" s="30"/>
      <c r="E1" s="30"/>
      <c r="F1" s="30"/>
      <c r="G1" s="30"/>
      <c r="H1" s="30"/>
      <c r="I1" s="30"/>
    </row>
    <row r="2" spans="3:9" x14ac:dyDescent="0.35">
      <c r="C2" s="30"/>
      <c r="D2" s="30"/>
      <c r="E2" s="30"/>
      <c r="F2" s="30"/>
      <c r="G2" s="30"/>
      <c r="H2" s="30"/>
      <c r="I2" s="30"/>
    </row>
    <row r="3" spans="3:9" ht="15" thickBot="1" x14ac:dyDescent="0.4">
      <c r="C3" s="30"/>
      <c r="D3" s="30"/>
      <c r="E3" s="30"/>
      <c r="F3" s="30"/>
      <c r="G3" s="30"/>
      <c r="H3" s="30"/>
      <c r="I3" s="30"/>
    </row>
    <row r="4" spans="3:9" ht="15" thickBot="1" x14ac:dyDescent="0.4">
      <c r="C4" s="12" t="s">
        <v>412</v>
      </c>
      <c r="D4" s="13" t="s">
        <v>413</v>
      </c>
      <c r="E4" s="13" t="s">
        <v>422</v>
      </c>
      <c r="F4" s="13" t="s">
        <v>421</v>
      </c>
      <c r="G4" s="13" t="s">
        <v>423</v>
      </c>
      <c r="H4" s="13" t="s">
        <v>414</v>
      </c>
      <c r="I4" s="14" t="s">
        <v>415</v>
      </c>
    </row>
    <row r="5" spans="3:9" x14ac:dyDescent="0.35">
      <c r="C5" s="9" t="s">
        <v>23</v>
      </c>
      <c r="D5" s="10">
        <v>176</v>
      </c>
      <c r="E5" s="21">
        <v>1436.27</v>
      </c>
      <c r="F5" s="21">
        <v>17235.240000000002</v>
      </c>
      <c r="G5" s="10">
        <v>220</v>
      </c>
      <c r="H5" s="10" t="s">
        <v>25</v>
      </c>
      <c r="I5" s="11" t="s">
        <v>416</v>
      </c>
    </row>
    <row r="6" spans="3:9" ht="15" thickBot="1" x14ac:dyDescent="0.4">
      <c r="C6" s="6" t="s">
        <v>237</v>
      </c>
      <c r="D6" s="7">
        <v>3</v>
      </c>
      <c r="E6" s="23">
        <v>0</v>
      </c>
      <c r="F6" s="23">
        <v>0</v>
      </c>
      <c r="G6" s="7">
        <v>16</v>
      </c>
      <c r="H6" s="7" t="s">
        <v>238</v>
      </c>
      <c r="I6" s="8" t="s">
        <v>417</v>
      </c>
    </row>
    <row r="7" spans="3:9" s="30" customFormat="1" x14ac:dyDescent="0.35"/>
    <row r="8" spans="3:9" s="30" customFormat="1" x14ac:dyDescent="0.35"/>
    <row r="9" spans="3:9" s="30" customFormat="1" x14ac:dyDescent="0.35"/>
    <row r="10" spans="3:9" s="30" customFormat="1" x14ac:dyDescent="0.35"/>
    <row r="11" spans="3:9" s="30" customFormat="1" x14ac:dyDescent="0.35"/>
    <row r="12" spans="3:9" s="30" customFormat="1" x14ac:dyDescent="0.35"/>
    <row r="13" spans="3:9" s="30" customFormat="1" x14ac:dyDescent="0.35"/>
    <row r="14" spans="3:9" s="30" customFormat="1" x14ac:dyDescent="0.35"/>
    <row r="15" spans="3:9" s="30" customFormat="1" x14ac:dyDescent="0.35"/>
    <row r="16" spans="3:9" s="30" customFormat="1" x14ac:dyDescent="0.35"/>
    <row r="17" s="30" customFormat="1" x14ac:dyDescent="0.35"/>
    <row r="18" s="30" customFormat="1" x14ac:dyDescent="0.35"/>
    <row r="19" s="30" customFormat="1" x14ac:dyDescent="0.35"/>
    <row r="20" s="30" customFormat="1" x14ac:dyDescent="0.35"/>
    <row r="21" s="30" customFormat="1" x14ac:dyDescent="0.35"/>
    <row r="22" s="30" customFormat="1" x14ac:dyDescent="0.35"/>
    <row r="23" s="30" customFormat="1" x14ac:dyDescent="0.35"/>
    <row r="24" s="30" customFormat="1" x14ac:dyDescent="0.35"/>
    <row r="25" s="30" customFormat="1" x14ac:dyDescent="0.35"/>
    <row r="26" s="30" customFormat="1" x14ac:dyDescent="0.35"/>
    <row r="27" s="30" customFormat="1" x14ac:dyDescent="0.35"/>
    <row r="28" s="30" customFormat="1" x14ac:dyDescent="0.35"/>
    <row r="29" s="30" customFormat="1" x14ac:dyDescent="0.35"/>
    <row r="30" s="30" customFormat="1" x14ac:dyDescent="0.35"/>
    <row r="31" s="30" customFormat="1" x14ac:dyDescent="0.35"/>
    <row r="32" s="30" customFormat="1" x14ac:dyDescent="0.35"/>
    <row r="33" s="30" customFormat="1" x14ac:dyDescent="0.35"/>
    <row r="34" s="30" customFormat="1" x14ac:dyDescent="0.35"/>
    <row r="35" s="30" customFormat="1" x14ac:dyDescent="0.35"/>
    <row r="36" s="30" customFormat="1" x14ac:dyDescent="0.35"/>
    <row r="37" s="30" customFormat="1" x14ac:dyDescent="0.35"/>
    <row r="38" s="30" customFormat="1" x14ac:dyDescent="0.35"/>
    <row r="39" s="30" customFormat="1" x14ac:dyDescent="0.35"/>
    <row r="40" s="30" customFormat="1" x14ac:dyDescent="0.35"/>
    <row r="41" s="30" customFormat="1" x14ac:dyDescent="0.35"/>
    <row r="42" s="30" customFormat="1" x14ac:dyDescent="0.35"/>
    <row r="43" s="30" customFormat="1" x14ac:dyDescent="0.35"/>
    <row r="44" s="30" customFormat="1" x14ac:dyDescent="0.35"/>
    <row r="45" s="30" customFormat="1" x14ac:dyDescent="0.35"/>
  </sheetData>
  <pageMargins left="0.75" right="0.75" top="1" bottom="1" header="0.5" footer="0.5"/>
</worksheet>
</file>

<file path=docMetadata/LabelInfo.xml><?xml version="1.0" encoding="utf-8"?>
<clbl:labelList xmlns:clbl="http://schemas.microsoft.com/office/2020/mipLabelMetadata">
  <clbl:label id="{cfe76910-67c0-454f-87ed-67624d22ffee}" enabled="1" method="Standard" siteId="{df505f9d-2555-419d-8720-93d1c7c0d8a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Detail_Analysis</vt:lpstr>
      <vt:lpstr>Executive_Detail_Summary</vt:lpstr>
      <vt:lpstr>Service_Type_Summary</vt:lpstr>
      <vt:lpstr>Implementation_Plan_2026</vt:lpstr>
      <vt:lpstr>Priority_Analysis</vt:lpstr>
      <vt:lpstr>Account_Breakdown</vt:lpstr>
      <vt:lpstr>High_Impact_Opportunities</vt:lpstr>
      <vt:lpstr>Quick_Gains</vt:lpstr>
      <vt:lpstr>Implementation_Timeline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Allam, Murthy Sai</cp:lastModifiedBy>
  <dcterms:created xsi:type="dcterms:W3CDTF">2025-12-29T19:08:58Z</dcterms:created>
  <dcterms:modified xsi:type="dcterms:W3CDTF">2025-12-29T21:29:06Z</dcterms:modified>
</cp:coreProperties>
</file>